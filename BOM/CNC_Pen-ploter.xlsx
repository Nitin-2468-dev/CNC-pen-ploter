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Nitin\Documents\.Glyph-Writer\CNC-pen-ploter\BOM\"/>
    </mc:Choice>
  </mc:AlternateContent>
  <xr:revisionPtr revIDLastSave="0" documentId="13_ncr:1_{A2FD969F-7022-4FBD-82EA-3265A762D967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A3 CNC Pen Plotter BOM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66" i="1" l="1"/>
  <c r="G66" i="1"/>
  <c r="H65" i="1"/>
  <c r="D10" i="2"/>
  <c r="C9" i="2"/>
  <c r="H63" i="1"/>
  <c r="B9" i="2"/>
  <c r="G48" i="1"/>
  <c r="H48" i="1" s="1"/>
  <c r="G3" i="1"/>
  <c r="H3" i="1" s="1"/>
  <c r="G4" i="1"/>
  <c r="H4" i="1" s="1"/>
  <c r="G5" i="1"/>
  <c r="H5" i="1" s="1"/>
  <c r="G6" i="1"/>
  <c r="G53" i="1" s="1"/>
  <c r="H53" i="1" s="1"/>
  <c r="G7" i="1"/>
  <c r="H7" i="1" s="1"/>
  <c r="G8" i="1"/>
  <c r="H8" i="1" s="1"/>
  <c r="G9" i="1"/>
  <c r="H9" i="1" s="1"/>
  <c r="G10" i="1"/>
  <c r="G54" i="1" s="1"/>
  <c r="H54" i="1" s="1"/>
  <c r="G11" i="1"/>
  <c r="H11" i="1" s="1"/>
  <c r="G12" i="1"/>
  <c r="H12" i="1" s="1"/>
  <c r="G13" i="1"/>
  <c r="H13" i="1" s="1"/>
  <c r="G14" i="1"/>
  <c r="H14" i="1" s="1"/>
  <c r="G15" i="1"/>
  <c r="H15" i="1" s="1"/>
  <c r="G16" i="1"/>
  <c r="H16" i="1" s="1"/>
  <c r="G17" i="1"/>
  <c r="H17" i="1" s="1"/>
  <c r="G18" i="1"/>
  <c r="H18" i="1" s="1"/>
  <c r="G19" i="1"/>
  <c r="H19" i="1" s="1"/>
  <c r="G20" i="1"/>
  <c r="G21" i="1"/>
  <c r="H21" i="1" s="1"/>
  <c r="G22" i="1"/>
  <c r="H22" i="1" s="1"/>
  <c r="G23" i="1"/>
  <c r="H23" i="1" s="1"/>
  <c r="G24" i="1"/>
  <c r="G25" i="1"/>
  <c r="G26" i="1"/>
  <c r="G58" i="1" s="1"/>
  <c r="H58" i="1" s="1"/>
  <c r="G27" i="1"/>
  <c r="G28" i="1"/>
  <c r="H28" i="1" s="1"/>
  <c r="G29" i="1"/>
  <c r="H29" i="1" s="1"/>
  <c r="G30" i="1"/>
  <c r="H30" i="1" s="1"/>
  <c r="G31" i="1"/>
  <c r="H31" i="1" s="1"/>
  <c r="G32" i="1"/>
  <c r="G33" i="1"/>
  <c r="G61" i="1" s="1"/>
  <c r="H61" i="1" s="1"/>
  <c r="G34" i="1"/>
  <c r="H34" i="1" s="1"/>
  <c r="G35" i="1"/>
  <c r="H35" i="1" s="1"/>
  <c r="G36" i="1"/>
  <c r="G37" i="1"/>
  <c r="H37" i="1" s="1"/>
  <c r="G38" i="1"/>
  <c r="G39" i="1"/>
  <c r="H39" i="1" s="1"/>
  <c r="G40" i="1"/>
  <c r="H40" i="1" s="1"/>
  <c r="G41" i="1"/>
  <c r="H41" i="1" s="1"/>
  <c r="G42" i="1"/>
  <c r="H42" i="1" s="1"/>
  <c r="G43" i="1"/>
  <c r="H43" i="1" s="1"/>
  <c r="G44" i="1"/>
  <c r="G45" i="1"/>
  <c r="H45" i="1" s="1"/>
  <c r="G46" i="1"/>
  <c r="H46" i="1" s="1"/>
  <c r="G47" i="1"/>
  <c r="H47" i="1" s="1"/>
  <c r="G49" i="1"/>
  <c r="G2" i="1"/>
  <c r="H26" i="1"/>
  <c r="K26" i="1" s="1"/>
  <c r="J26" i="1"/>
  <c r="J25" i="1"/>
  <c r="G55" i="1" l="1"/>
  <c r="H55" i="1" s="1"/>
  <c r="J20" i="1"/>
  <c r="H20" i="1"/>
  <c r="G56" i="1"/>
  <c r="H56" i="1" s="1"/>
  <c r="J24" i="1"/>
  <c r="H24" i="1"/>
  <c r="K24" i="1" s="1"/>
  <c r="G57" i="1"/>
  <c r="H57" i="1" s="1"/>
  <c r="H25" i="1"/>
  <c r="K25" i="1" s="1"/>
  <c r="H27" i="1"/>
  <c r="G59" i="1"/>
  <c r="H59" i="1" s="1"/>
  <c r="J27" i="1"/>
  <c r="H32" i="1"/>
  <c r="K32" i="1" s="1"/>
  <c r="G60" i="1"/>
  <c r="H60" i="1" s="1"/>
  <c r="J32" i="1"/>
  <c r="H36" i="1"/>
  <c r="G62" i="1"/>
  <c r="H62" i="1" s="1"/>
  <c r="H49" i="1"/>
  <c r="G64" i="1"/>
  <c r="H64" i="1" s="1"/>
  <c r="G52" i="1"/>
  <c r="J2" i="1"/>
  <c r="K20" i="1"/>
  <c r="J6" i="1"/>
  <c r="H6" i="1"/>
  <c r="K6" i="1" s="1"/>
  <c r="H10" i="1"/>
  <c r="K10" i="1" s="1"/>
  <c r="J10" i="1"/>
  <c r="H33" i="1"/>
  <c r="K33" i="1" s="1"/>
  <c r="J33" i="1"/>
  <c r="H38" i="1"/>
  <c r="K36" i="1" s="1"/>
  <c r="J36" i="1"/>
  <c r="K27" i="1"/>
  <c r="H2" i="1"/>
  <c r="K2" i="1" s="1"/>
  <c r="H44" i="1"/>
  <c r="K42" i="1" s="1"/>
  <c r="J42" i="1"/>
  <c r="H52" i="1" l="1"/>
  <c r="K50" i="1"/>
  <c r="J50" i="1"/>
</calcChain>
</file>

<file path=xl/sharedStrings.xml><?xml version="1.0" encoding="utf-8"?>
<sst xmlns="http://schemas.openxmlformats.org/spreadsheetml/2006/main" count="194" uniqueCount="135">
  <si>
    <t>Category</t>
  </si>
  <si>
    <t>Part</t>
  </si>
  <si>
    <t>Specification</t>
  </si>
  <si>
    <t>Qty</t>
  </si>
  <si>
    <t>Unit Cost (INR)</t>
  </si>
  <si>
    <t>Total Cost (INR)</t>
  </si>
  <si>
    <t>Est. Cost (USD)</t>
  </si>
  <si>
    <t>Link</t>
  </si>
  <si>
    <t>Motion</t>
  </si>
  <si>
    <t>NEMA 17 Stepper Motor</t>
  </si>
  <si>
    <t>42 x 42 mm</t>
  </si>
  <si>
    <t>https://rees52.com/products/17hs4401s-nema-17-stepper-motor-for-3d-printer?_pos=4&amp;_sid=48153941e&amp;_ss=r</t>
  </si>
  <si>
    <t>Delrin Solid V-Wheel</t>
  </si>
  <si>
    <t>.</t>
  </si>
  <si>
    <t>https://www.3dprintronics.com/products/?productId=65234093</t>
  </si>
  <si>
    <t>GT2 Timing Pulley</t>
  </si>
  <si>
    <t>20T, M5</t>
  </si>
  <si>
    <t>https://www.3dprintronics.com/products/gt-2-pulley-20t-5mm-bore</t>
  </si>
  <si>
    <t>GT2 Timing Belt</t>
  </si>
  <si>
    <t>2m</t>
  </si>
  <si>
    <t>https://makerbazar.in/products/1m-gt2-width-6mm-black-open-timing-belt-for-3d-printer</t>
  </si>
  <si>
    <t>Aluminium Frame</t>
  </si>
  <si>
    <t>V-Slot Extrusion 2040</t>
  </si>
  <si>
    <t>444 mm</t>
  </si>
  <si>
    <t>https://www.3dprintronics.com/extrusions?productId=721461094</t>
  </si>
  <si>
    <t>610 mm</t>
  </si>
  <si>
    <t>V-Slot Extrusion 2020</t>
  </si>
  <si>
    <t>https://www.3dprintronics.com/extrusions?productId=720294005</t>
  </si>
  <si>
    <t>Corner Bracket 20</t>
  </si>
  <si>
    <t>20 Series</t>
  </si>
  <si>
    <t>https://www.3dprintronics.com/brackets</t>
  </si>
  <si>
    <t>M5 Hardware</t>
  </si>
  <si>
    <t>Ultra Low Profile Screw</t>
  </si>
  <si>
    <t>M5x 50mm</t>
  </si>
  <si>
    <t>M5 x40mm</t>
  </si>
  <si>
    <t>M5x 30mm</t>
  </si>
  <si>
    <t>M5 × 25 mm</t>
  </si>
  <si>
    <t>M5 x 15 mm</t>
  </si>
  <si>
    <t>M5 × 10 mm</t>
  </si>
  <si>
    <t>M5 × 8 mm</t>
  </si>
  <si>
    <t>Nylon Lock Nut</t>
  </si>
  <si>
    <t>M5</t>
  </si>
  <si>
    <t>Washer / Shim</t>
  </si>
  <si>
    <t>Drop-In T-Nut</t>
  </si>
  <si>
    <t>https://www.3dprintronics.com/tnuts</t>
  </si>
  <si>
    <t>M3 Hardware</t>
  </si>
  <si>
    <t>Screw</t>
  </si>
  <si>
    <t>M3 × 16 mm</t>
  </si>
  <si>
    <t>M3 x 10 mm</t>
  </si>
  <si>
    <t>PCB Stand-Off</t>
  </si>
  <si>
    <t>M3</t>
  </si>
  <si>
    <t>https://rees52.com/products/m3x10mm-nylon-hex-spacers-10mm-female-female-nylon-hex-spacers-versatile-m3-nylon-hex-spacers-for-electronics-projects-pack-of-10-rs4028?_pos=4&amp;_sid=70c24bf3d&amp;_ss=r</t>
  </si>
  <si>
    <t>M2.5 Hardware</t>
  </si>
  <si>
    <t>M2.5 × 4 mm</t>
  </si>
  <si>
    <t>M2 Hardware</t>
  </si>
  <si>
    <t>M2 x 8 mm</t>
  </si>
  <si>
    <t>Spacers</t>
  </si>
  <si>
    <t>Aluminium Spacer</t>
  </si>
  <si>
    <t>5.1 mm ID × 6 mm</t>
  </si>
  <si>
    <t>https://www.3dprintronics.com/fasteners</t>
  </si>
  <si>
    <t>Printed Parts</t>
  </si>
  <si>
    <t>Clip Fixture</t>
  </si>
  <si>
    <t>Limit Switch Mount</t>
  </si>
  <si>
    <t>Pen Carriage Moving</t>
  </si>
  <si>
    <t>Pen Carriage Monunt</t>
  </si>
  <si>
    <t>Buck convertor Mount</t>
  </si>
  <si>
    <t>Laser cut</t>
  </si>
  <si>
    <t>ACRO Plate Set</t>
  </si>
  <si>
    <t>https://www.3dprintronics.com/products/acro-acrylic-plate-set</t>
  </si>
  <si>
    <t>Pen Lift</t>
  </si>
  <si>
    <t>Concrete Nail</t>
  </si>
  <si>
    <t>70 mm</t>
  </si>
  <si>
    <t>https://makerbazar.in/products/concrete-iron-nails?variant=44871802716400</t>
  </si>
  <si>
    <t>Pen Spring</t>
  </si>
  <si>
    <t>7.5mm</t>
  </si>
  <si>
    <t>Screw Knob</t>
  </si>
  <si>
    <t>Electronics</t>
  </si>
  <si>
    <t>MKS DLC32</t>
  </si>
  <si>
    <t>https://rees52.com/products/makerbase-mks-dlc32-v2-1-offline-controller-board-for-standalone-3d-printer-cnc-board?selling_plan=2556362919&amp;variant=47709331161255</t>
  </si>
  <si>
    <t>DRV8825 Motor Driver</t>
  </si>
  <si>
    <t>https://makerbazar.in/products/drv8825-stepper-motor-driver-with-aluminum-heat-sink?variant=45989819384048</t>
  </si>
  <si>
    <t>Meanwell Power Supply</t>
  </si>
  <si>
    <t>https://www.3dprintronics.com/products/original-meanwell-psu-lrs-150-24</t>
  </si>
  <si>
    <t>DC-DC Converter</t>
  </si>
  <si>
    <t>https://makerbazar.in/products/xl6009-dc-dc-adjustable-boost-buck-step-up-step-down-converter-module?variant=49621760803056</t>
  </si>
  <si>
    <t xml:space="preserve">Servo Motor </t>
  </si>
  <si>
    <t>https://makerbazar.in/products/small-servo-plastic-gear-svg90s?variant=45449411395824</t>
  </si>
  <si>
    <t>Limit Switch</t>
  </si>
  <si>
    <t>https://makerbazar.in/products/automation-direct-limit-switch?variant=46931163742448</t>
  </si>
  <si>
    <t>Connectors</t>
  </si>
  <si>
    <t>JST-XH Connector Kit</t>
  </si>
  <si>
    <t>2.54 mm, 230 pcs</t>
  </si>
  <si>
    <t>https://makerbazar.in/products/230pcs-jst-xh-2-54mm-terminal-connectors-kit?variant=44076187353328</t>
  </si>
  <si>
    <t>Wire Stripper / Crimper</t>
  </si>
  <si>
    <t>27 in 1</t>
  </si>
  <si>
    <t>https://makerbazar.in/products/multifunctional-wire-stripper-tool?variant=48854082224368</t>
  </si>
  <si>
    <t>22 AWG wire.</t>
  </si>
  <si>
    <t>RED</t>
  </si>
  <si>
    <t>https://rees52.com/products/22-awg-hookup-wire-kit-600v-pre-tinned-solid-core-copper-wire-6-assorted-colors-10-meters-each-for-electronics-and-diy-projects-solid-rs3858?variant=45173813280935&amp;country=IN&amp;currency=INR</t>
  </si>
  <si>
    <t>BLACK</t>
  </si>
  <si>
    <t>BLUE</t>
  </si>
  <si>
    <t>YELLOW</t>
  </si>
  <si>
    <t>GREEN</t>
  </si>
  <si>
    <t>other</t>
  </si>
  <si>
    <t>20mm Conduit</t>
  </si>
  <si>
    <t>https://makerbazar.in/products/gi-flexible-electrical-conduit-pipe?variant=49720866930928</t>
  </si>
  <si>
    <t>Category Totals</t>
  </si>
  <si>
    <t>Grand Total</t>
  </si>
  <si>
    <t>Min Qty</t>
  </si>
  <si>
    <t>500 mm</t>
  </si>
  <si>
    <t>Rate (USD to INR)</t>
  </si>
  <si>
    <t>https://github.com/Nitin-2468-dev/CNC-pen-ploter/blob/4257d85dff9801f25d6eed69f16ddeeee0ea9228/CAD/3D%20print/Final%20Build%20-%20Clip%20fixture.stl</t>
  </si>
  <si>
    <t>https://github.com/Nitin-2468-dev/CNC-pen-ploter/blob/4257d85dff9801f25d6eed69f16ddeeee0ea9228/CAD/3D%20print/Final%20Build%20-%20Limit_Switch%20mount.stl</t>
  </si>
  <si>
    <t>https://github.com/Nitin-2468-dev/CNC-pen-ploter/blob/4257d85dff9801f25d6eed69f16ddeeee0ea9228/CAD/3D%20print/Final%20Build%20-%20pen%20carriage%20S.stl</t>
  </si>
  <si>
    <t>https://github.com/Nitin-2468-dev/CNC-pen-ploter/blob/1301df8278865117f46e9abd898126a73db8b00f/CAD/3D%20print/Final%20Build%20-%20pen%20carriage%20M.stl</t>
  </si>
  <si>
    <t>https://github.com/Nitin-2468-dev/CNC-pen-ploter/blob/1301df8278865117f46e9abd898126a73db8b00f/CAD/3D%20print/Part%20Studio%201%20-%20Buck-Convertor%20mount.stl</t>
  </si>
  <si>
    <t>12.58g</t>
  </si>
  <si>
    <t>16.52g</t>
  </si>
  <si>
    <t>36g (5.96 g each )</t>
  </si>
  <si>
    <t>2.5g (1.13 g each)</t>
  </si>
  <si>
    <t>2.91 g</t>
  </si>
  <si>
    <t>5m</t>
  </si>
  <si>
    <t>3m</t>
  </si>
  <si>
    <t>1m</t>
  </si>
  <si>
    <t>Subtotal</t>
  </si>
  <si>
    <t>Shipping</t>
  </si>
  <si>
    <t>GST(18%)</t>
  </si>
  <si>
    <t>Total</t>
  </si>
  <si>
    <t>3dprintronics</t>
  </si>
  <si>
    <t>Subtotal · 6 items</t>
  </si>
  <si>
    <t>Free</t>
  </si>
  <si>
    <t>Estimated taxes</t>
  </si>
  <si>
    <t>rees52</t>
  </si>
  <si>
    <t>makerbazar</t>
  </si>
  <si>
    <t>Shiping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</si>
</sst>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₹&quot;\ #,##0.00;[Red]&quot;₹&quot;\ \-#,##0.00"/>
    <numFmt numFmtId="164" formatCode="\₹#,##0.00"/>
    <numFmt numFmtId="165" formatCode="\$#,##0.00"/>
    <numFmt numFmtId="166" formatCode="_ [$₹-4009]\ * #,##0.00_ ;_ [$₹-4009]\ * \-#,##0.00_ ;_ [$₹-4009]\ * &quot;-&quot;??_ ;_ @_ "/>
    <numFmt numFmtId="167" formatCode="_-[$$-409]* #,##0.00_ ;_-[$$-409]* \-#,##0.00\ ;_-[$$-409]* &quot;-&quot;??_ ;_-@_ "/>
  </numFmts>
  <fonts count="12" x14ac:knownFonts="1">
    <font>
      <sz val="11"/>
      <color theme="1"/>
      <name val="Calibri"/>
      <family val="2"/>
      <charset val="1"/>
    </font>
    <font>
      <b/>
      <sz val="11"/>
      <color rgb="FFFFFFFF"/>
      <name val="Calibri"/>
      <charset val="1"/>
    </font>
    <font>
      <b/>
      <sz val="10"/>
      <name val="Calibri"/>
      <charset val="1"/>
    </font>
    <font>
      <sz val="10"/>
      <name val="Calibri"/>
      <charset val="1"/>
    </font>
    <font>
      <u/>
      <sz val="10"/>
      <color rgb="FF0563C1"/>
      <name val="Calibri"/>
      <charset val="1"/>
    </font>
    <font>
      <b/>
      <sz val="12"/>
      <name val="Calibri"/>
      <charset val="1"/>
    </font>
    <font>
      <b/>
      <sz val="12"/>
      <color rgb="FFFFFFFF"/>
      <name val="Calibri"/>
      <charset val="1"/>
    </font>
    <font>
      <u/>
      <sz val="11"/>
      <color theme="10"/>
      <name val="Calibri"/>
      <family val="2"/>
      <charset val="1"/>
    </font>
    <font>
      <sz val="8"/>
      <name val="Calibri"/>
      <family val="2"/>
      <charset val="1"/>
    </font>
    <font>
      <sz val="10"/>
      <name val="Calibri"/>
      <family val="2"/>
    </font>
    <font>
      <sz val="10"/>
      <color rgb="FF191919"/>
      <name val="Segoe UI"/>
      <family val="2"/>
    </font>
    <font>
      <sz val="13"/>
      <color rgb="FF191919"/>
      <name val="Segoe UI"/>
      <family val="2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FFF"/>
        <bgColor rgb="FFF2F6FA"/>
      </patternFill>
    </fill>
    <fill>
      <patternFill patternType="solid">
        <fgColor rgb="FFF2F6FA"/>
        <bgColor rgb="FFFFFFFF"/>
      </patternFill>
    </fill>
    <fill>
      <patternFill patternType="solid">
        <fgColor rgb="FFD9E2F3"/>
        <bgColor rgb="FFF2F6FA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3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/>
    <xf numFmtId="0" fontId="3" fillId="3" borderId="1" xfId="0" applyFont="1" applyFill="1" applyBorder="1"/>
    <xf numFmtId="164" fontId="3" fillId="3" borderId="1" xfId="0" applyNumberFormat="1" applyFont="1" applyFill="1" applyBorder="1"/>
    <xf numFmtId="165" fontId="3" fillId="3" borderId="1" xfId="0" applyNumberFormat="1" applyFont="1" applyFill="1" applyBorder="1"/>
    <xf numFmtId="0" fontId="4" fillId="3" borderId="1" xfId="0" applyFont="1" applyFill="1" applyBorder="1"/>
    <xf numFmtId="0" fontId="2" fillId="4" borderId="1" xfId="0" applyFont="1" applyFill="1" applyBorder="1"/>
    <xf numFmtId="0" fontId="3" fillId="4" borderId="1" xfId="0" applyFont="1" applyFill="1" applyBorder="1"/>
    <xf numFmtId="164" fontId="3" fillId="4" borderId="1" xfId="0" applyNumberFormat="1" applyFont="1" applyFill="1" applyBorder="1"/>
    <xf numFmtId="165" fontId="3" fillId="4" borderId="1" xfId="0" applyNumberFormat="1" applyFont="1" applyFill="1" applyBorder="1"/>
    <xf numFmtId="0" fontId="4" fillId="4" borderId="1" xfId="0" applyFont="1" applyFill="1" applyBorder="1"/>
    <xf numFmtId="0" fontId="5" fillId="0" borderId="0" xfId="0" applyFont="1"/>
    <xf numFmtId="0" fontId="2" fillId="5" borderId="1" xfId="0" applyFont="1" applyFill="1" applyBorder="1"/>
    <xf numFmtId="0" fontId="0" fillId="5" borderId="1" xfId="0" applyFill="1" applyBorder="1"/>
    <xf numFmtId="0" fontId="6" fillId="2" borderId="1" xfId="0" applyFont="1" applyFill="1" applyBorder="1"/>
    <xf numFmtId="0" fontId="3" fillId="3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2" fillId="5" borderId="0" xfId="0" applyFont="1" applyFill="1"/>
    <xf numFmtId="166" fontId="0" fillId="0" borderId="0" xfId="0" applyNumberFormat="1"/>
    <xf numFmtId="0" fontId="7" fillId="4" borderId="1" xfId="1" applyFill="1" applyBorder="1"/>
    <xf numFmtId="164" fontId="0" fillId="0" borderId="0" xfId="0" applyNumberFormat="1"/>
    <xf numFmtId="165" fontId="0" fillId="0" borderId="0" xfId="0" applyNumberFormat="1"/>
    <xf numFmtId="0" fontId="9" fillId="4" borderId="1" xfId="0" applyFont="1" applyFill="1" applyBorder="1" applyAlignment="1">
      <alignment horizontal="center"/>
    </xf>
    <xf numFmtId="0" fontId="10" fillId="0" borderId="0" xfId="0" applyFont="1" applyAlignment="1">
      <alignment vertical="center" wrapText="1"/>
    </xf>
    <xf numFmtId="8" fontId="0" fillId="0" borderId="0" xfId="0" applyNumberFormat="1"/>
    <xf numFmtId="8" fontId="10" fillId="0" borderId="0" xfId="0" applyNumberFormat="1" applyFont="1" applyAlignment="1">
      <alignment horizontal="right" vertical="top" wrapText="1" indent="1"/>
    </xf>
    <xf numFmtId="0" fontId="11" fillId="0" borderId="0" xfId="0" applyFont="1" applyAlignment="1">
      <alignment vertical="center" wrapText="1"/>
    </xf>
    <xf numFmtId="8" fontId="11" fillId="0" borderId="0" xfId="0" applyNumberFormat="1" applyFont="1" applyAlignment="1">
      <alignment horizontal="right" vertical="top" wrapText="1" indent="1"/>
    </xf>
    <xf numFmtId="167" fontId="0" fillId="5" borderId="1" xfId="0" applyNumberFormat="1" applyFill="1" applyBorder="1"/>
    <xf numFmtId="166" fontId="0" fillId="5" borderId="1" xfId="0" applyNumberFormat="1" applyFill="1" applyBorder="1"/>
    <xf numFmtId="166" fontId="6" fillId="2" borderId="1" xfId="0" applyNumberFormat="1" applyFont="1" applyFill="1" applyBorder="1"/>
    <xf numFmtId="167" fontId="6" fillId="2" borderId="1" xfId="0" applyNumberFormat="1" applyFont="1" applyFill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2F6FA"/>
      <rgbColor rgb="FFCCFFFF"/>
      <rgbColor rgb="FF660066"/>
      <rgbColor rgb="FFFF8080"/>
      <rgbColor rgb="FF0563C1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3dprintronics.com/products/acro-acrylic-plate-set" TargetMode="External"/><Relationship Id="rId18" Type="http://schemas.openxmlformats.org/officeDocument/2006/relationships/hyperlink" Target="https://www.3dprintronics.com/products/original-meanwell-psu-lrs-150-24" TargetMode="External"/><Relationship Id="rId26" Type="http://schemas.openxmlformats.org/officeDocument/2006/relationships/hyperlink" Target="https://www.3dprintronics.com/fasteners" TargetMode="External"/><Relationship Id="rId21" Type="http://schemas.openxmlformats.org/officeDocument/2006/relationships/hyperlink" Target="https://makerbazar.in/products/automation-direct-limit-switch?variant=46931163742448" TargetMode="External"/><Relationship Id="rId34" Type="http://schemas.openxmlformats.org/officeDocument/2006/relationships/hyperlink" Target="https://github.com/Nitin-2468-dev/CNC-pen-ploter/blob/4257d85dff9801f25d6eed69f16ddeeee0ea9228/CAD/3D%20print/Final%20Build%20-%20Clip%20fixture.stl" TargetMode="External"/><Relationship Id="rId7" Type="http://schemas.openxmlformats.org/officeDocument/2006/relationships/hyperlink" Target="https://www.3dprintronics.com/extrusions?productId=720294005" TargetMode="External"/><Relationship Id="rId12" Type="http://schemas.openxmlformats.org/officeDocument/2006/relationships/hyperlink" Target="https://www.3dprintronics.com/fasteners" TargetMode="External"/><Relationship Id="rId17" Type="http://schemas.openxmlformats.org/officeDocument/2006/relationships/hyperlink" Target="https://makerbazar.in/products/drv8825-stepper-motor-driver-with-aluminum-heat-sink?variant=45989819384048" TargetMode="External"/><Relationship Id="rId25" Type="http://schemas.openxmlformats.org/officeDocument/2006/relationships/hyperlink" Target="https://makerbazar.in/products/gi-flexible-electrical-conduit-pipe?variant=49720866930928" TargetMode="External"/><Relationship Id="rId33" Type="http://schemas.openxmlformats.org/officeDocument/2006/relationships/hyperlink" Target="https://www.3dprintronics.com/fasteners" TargetMode="External"/><Relationship Id="rId38" Type="http://schemas.openxmlformats.org/officeDocument/2006/relationships/hyperlink" Target="https://github.com/Nitin-2468-dev/CNC-pen-ploter/blob/1301df8278865117f46e9abd898126a73db8b00f/CAD/3D%20print/Part%20Studio%201%20-%20Buck-Convertor%20mount.stl" TargetMode="External"/><Relationship Id="rId2" Type="http://schemas.openxmlformats.org/officeDocument/2006/relationships/hyperlink" Target="https://www.3dprintronics.com/products/?productId=65234093" TargetMode="External"/><Relationship Id="rId16" Type="http://schemas.openxmlformats.org/officeDocument/2006/relationships/hyperlink" Target="https://rees52.com/products/makerbase-mks-dlc32-v2-1-offline-controller-board-for-standalone-3d-printer-cnc-board?selling_plan=2556362919&amp;variant=47709331161255" TargetMode="External"/><Relationship Id="rId20" Type="http://schemas.openxmlformats.org/officeDocument/2006/relationships/hyperlink" Target="https://makerbazar.in/products/small-servo-plastic-gear-svg90s?variant=45449411395824" TargetMode="External"/><Relationship Id="rId29" Type="http://schemas.openxmlformats.org/officeDocument/2006/relationships/hyperlink" Target="https://www.3dprintronics.com/fasteners" TargetMode="External"/><Relationship Id="rId1" Type="http://schemas.openxmlformats.org/officeDocument/2006/relationships/hyperlink" Target="https://rees52.com/products/17hs4401s-nema-17-stepper-motor-for-3d-printer?_pos=4&amp;_sid=48153941e&amp;_ss=r" TargetMode="External"/><Relationship Id="rId6" Type="http://schemas.openxmlformats.org/officeDocument/2006/relationships/hyperlink" Target="https://www.3dprintronics.com/extrusions?productId=721461094" TargetMode="External"/><Relationship Id="rId11" Type="http://schemas.openxmlformats.org/officeDocument/2006/relationships/hyperlink" Target="https://www.3dprintronics.com/tnuts" TargetMode="External"/><Relationship Id="rId24" Type="http://schemas.openxmlformats.org/officeDocument/2006/relationships/hyperlink" Target="https://rees52.com/products/22-awg-hookup-wire-kit-600v-pre-tinned-solid-core-copper-wire-6-assorted-colors-10-meters-each-for-electronics-and-diy-projects-solid-rs3858?variant=45173813280935&amp;country=IN&amp;currency=INR" TargetMode="External"/><Relationship Id="rId32" Type="http://schemas.openxmlformats.org/officeDocument/2006/relationships/hyperlink" Target="https://www.3dprintronics.com/fasteners" TargetMode="External"/><Relationship Id="rId37" Type="http://schemas.openxmlformats.org/officeDocument/2006/relationships/hyperlink" Target="https://github.com/Nitin-2468-dev/CNC-pen-ploter/blob/4257d85dff9801f25d6eed69f16ddeeee0ea9228/CAD/3D%20print/Final%20Build%20-%20pen%20carriage%20S.stl" TargetMode="External"/><Relationship Id="rId5" Type="http://schemas.openxmlformats.org/officeDocument/2006/relationships/hyperlink" Target="https://www.3dprintronics.com/extrusions?productId=721461094" TargetMode="External"/><Relationship Id="rId15" Type="http://schemas.openxmlformats.org/officeDocument/2006/relationships/hyperlink" Target="https://www.3dprintronics.com/fasteners" TargetMode="External"/><Relationship Id="rId23" Type="http://schemas.openxmlformats.org/officeDocument/2006/relationships/hyperlink" Target="https://makerbazar.in/products/multifunctional-wire-stripper-tool?variant=48854082224368" TargetMode="External"/><Relationship Id="rId28" Type="http://schemas.openxmlformats.org/officeDocument/2006/relationships/hyperlink" Target="https://www.3dprintronics.com/fasteners" TargetMode="External"/><Relationship Id="rId36" Type="http://schemas.openxmlformats.org/officeDocument/2006/relationships/hyperlink" Target="https://github.com/Nitin-2468-dev/CNC-pen-ploter/blob/1301df8278865117f46e9abd898126a73db8b00f/CAD/3D%20print/Final%20Build%20-%20pen%20carriage%20M.stl" TargetMode="External"/><Relationship Id="rId10" Type="http://schemas.openxmlformats.org/officeDocument/2006/relationships/hyperlink" Target="https://rees52.com/products/m3x10mm-nylon-hex-spacers-10mm-female-female-nylon-hex-spacers-versatile-m3-nylon-hex-spacers-for-electronics-projects-pack-of-10-rs4028?_pos=4&amp;_sid=70c24bf3d&amp;_ss=r" TargetMode="External"/><Relationship Id="rId19" Type="http://schemas.openxmlformats.org/officeDocument/2006/relationships/hyperlink" Target="https://makerbazar.in/products/xl6009-dc-dc-adjustable-boost-buck-step-up-step-down-converter-module?variant=49621760803056" TargetMode="External"/><Relationship Id="rId31" Type="http://schemas.openxmlformats.org/officeDocument/2006/relationships/hyperlink" Target="https://www.3dprintronics.com/fasteners" TargetMode="External"/><Relationship Id="rId4" Type="http://schemas.openxmlformats.org/officeDocument/2006/relationships/hyperlink" Target="https://makerbazar.in/products/1m-gt2-width-6mm-black-open-timing-belt-for-3d-printer" TargetMode="External"/><Relationship Id="rId9" Type="http://schemas.openxmlformats.org/officeDocument/2006/relationships/hyperlink" Target="https://www.3dprintronics.com/tnuts" TargetMode="External"/><Relationship Id="rId14" Type="http://schemas.openxmlformats.org/officeDocument/2006/relationships/hyperlink" Target="https://makerbazar.in/products/concrete-iron-nails?variant=44871802716400" TargetMode="External"/><Relationship Id="rId22" Type="http://schemas.openxmlformats.org/officeDocument/2006/relationships/hyperlink" Target="https://makerbazar.in/products/230pcs-jst-xh-2-54mm-terminal-connectors-kit?variant=44076187353328" TargetMode="External"/><Relationship Id="rId27" Type="http://schemas.openxmlformats.org/officeDocument/2006/relationships/hyperlink" Target="https://www.3dprintronics.com/fasteners" TargetMode="External"/><Relationship Id="rId30" Type="http://schemas.openxmlformats.org/officeDocument/2006/relationships/hyperlink" Target="https://www.3dprintronics.com/fasteners" TargetMode="External"/><Relationship Id="rId35" Type="http://schemas.openxmlformats.org/officeDocument/2006/relationships/hyperlink" Target="https://github.com/Nitin-2468-dev/CNC-pen-ploter/blob/4257d85dff9801f25d6eed69f16ddeeee0ea9228/CAD/3D%20print/Final%20Build%20-%20Limit_Switch%20mount.stl" TargetMode="External"/><Relationship Id="rId8" Type="http://schemas.openxmlformats.org/officeDocument/2006/relationships/hyperlink" Target="https://www.3dprintronics.com/brackets" TargetMode="External"/><Relationship Id="rId3" Type="http://schemas.openxmlformats.org/officeDocument/2006/relationships/hyperlink" Target="https://www.3dprintronics.com/products/gt-2-pulley-20t-5mm-bor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8"/>
  <sheetViews>
    <sheetView tabSelected="1" zoomScaleNormal="100" workbookViewId="0">
      <pane ySplit="1" topLeftCell="A47" activePane="bottomLeft" state="frozen"/>
      <selection pane="bottomLeft" activeCell="G70" sqref="G70"/>
    </sheetView>
  </sheetViews>
  <sheetFormatPr defaultColWidth="8.6640625" defaultRowHeight="14.4" x14ac:dyDescent="0.3"/>
  <cols>
    <col min="1" max="1" width="18" customWidth="1"/>
    <col min="2" max="2" width="32" customWidth="1"/>
    <col min="3" max="3" width="22" customWidth="1"/>
    <col min="4" max="4" width="9.88671875" customWidth="1"/>
    <col min="5" max="5" width="8" customWidth="1"/>
    <col min="6" max="7" width="16" customWidth="1"/>
    <col min="8" max="8" width="15" customWidth="1"/>
    <col min="9" max="9" width="48" customWidth="1"/>
    <col min="10" max="10" width="12.77734375" customWidth="1"/>
  </cols>
  <sheetData>
    <row r="1" spans="1:11" x14ac:dyDescent="0.3">
      <c r="A1" s="1" t="s">
        <v>0</v>
      </c>
      <c r="B1" s="1" t="s">
        <v>1</v>
      </c>
      <c r="C1" s="1" t="s">
        <v>2</v>
      </c>
      <c r="D1" s="1" t="s">
        <v>108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</row>
    <row r="2" spans="1:11" x14ac:dyDescent="0.3">
      <c r="A2" s="2" t="s">
        <v>8</v>
      </c>
      <c r="B2" s="3" t="s">
        <v>9</v>
      </c>
      <c r="C2" s="3" t="s">
        <v>10</v>
      </c>
      <c r="D2" s="3"/>
      <c r="E2" s="16">
        <v>3</v>
      </c>
      <c r="F2" s="4">
        <v>450</v>
      </c>
      <c r="G2" s="4">
        <f>IFERROR((IF(E2&gt;=D2,E2*F2,D2*F2)),F2)</f>
        <v>1350</v>
      </c>
      <c r="H2" s="5">
        <f>G2/B68</f>
        <v>14.224001685807607</v>
      </c>
      <c r="I2" s="6" t="s">
        <v>11</v>
      </c>
      <c r="J2" s="21">
        <f>SUM(G2:G5)</f>
        <v>4328</v>
      </c>
      <c r="K2" s="22">
        <f>SUM(H2:H5)</f>
        <v>45.601095774944689</v>
      </c>
    </row>
    <row r="3" spans="1:11" x14ac:dyDescent="0.3">
      <c r="A3" s="2"/>
      <c r="B3" s="3" t="s">
        <v>12</v>
      </c>
      <c r="C3" s="3" t="s">
        <v>13</v>
      </c>
      <c r="D3" s="3"/>
      <c r="E3" s="16">
        <v>12</v>
      </c>
      <c r="F3" s="4">
        <v>199</v>
      </c>
      <c r="G3" s="4">
        <f t="shared" ref="G3:G49" si="0">IFERROR((IF(E3&gt;=D3,E3*F3,D3*F3)),F3)</f>
        <v>2388</v>
      </c>
      <c r="H3" s="5">
        <f>G3/B68</f>
        <v>25.160678537561903</v>
      </c>
      <c r="I3" s="6" t="s">
        <v>14</v>
      </c>
    </row>
    <row r="4" spans="1:11" x14ac:dyDescent="0.3">
      <c r="A4" s="2"/>
      <c r="B4" s="3" t="s">
        <v>15</v>
      </c>
      <c r="C4" s="3" t="s">
        <v>16</v>
      </c>
      <c r="D4" s="3"/>
      <c r="E4" s="16">
        <v>3</v>
      </c>
      <c r="F4" s="4">
        <v>140</v>
      </c>
      <c r="G4" s="4">
        <f t="shared" si="0"/>
        <v>420</v>
      </c>
      <c r="H4" s="5">
        <f>G4/B68</f>
        <v>4.4252449689179221</v>
      </c>
      <c r="I4" s="6" t="s">
        <v>17</v>
      </c>
    </row>
    <row r="5" spans="1:11" x14ac:dyDescent="0.3">
      <c r="A5" s="2"/>
      <c r="B5" s="3" t="s">
        <v>18</v>
      </c>
      <c r="C5" s="3" t="s">
        <v>19</v>
      </c>
      <c r="D5" s="3"/>
      <c r="E5" s="16">
        <v>2</v>
      </c>
      <c r="F5" s="4">
        <v>85</v>
      </c>
      <c r="G5" s="4">
        <f t="shared" si="0"/>
        <v>170</v>
      </c>
      <c r="H5" s="5">
        <f>G5/B68</f>
        <v>1.7911705826572544</v>
      </c>
      <c r="I5" s="6" t="s">
        <v>20</v>
      </c>
    </row>
    <row r="6" spans="1:11" x14ac:dyDescent="0.3">
      <c r="A6" s="7" t="s">
        <v>21</v>
      </c>
      <c r="B6" s="8" t="s">
        <v>22</v>
      </c>
      <c r="C6" s="8" t="s">
        <v>23</v>
      </c>
      <c r="D6" s="8" t="s">
        <v>109</v>
      </c>
      <c r="E6" s="17">
        <v>1</v>
      </c>
      <c r="F6" s="9">
        <v>731.6</v>
      </c>
      <c r="G6" s="9">
        <f t="shared" si="0"/>
        <v>731.6</v>
      </c>
      <c r="H6" s="10">
        <f>G6/B68</f>
        <v>7.7083552839532192</v>
      </c>
      <c r="I6" s="11" t="s">
        <v>24</v>
      </c>
      <c r="J6" s="21">
        <f>SUM(G6:G9)</f>
        <v>4162.3999999999996</v>
      </c>
      <c r="K6" s="22">
        <f>SUM(H6:H9)</f>
        <v>43.856284901485616</v>
      </c>
    </row>
    <row r="7" spans="1:11" x14ac:dyDescent="0.3">
      <c r="A7" s="7"/>
      <c r="B7" s="8" t="s">
        <v>22</v>
      </c>
      <c r="C7" s="8" t="s">
        <v>25</v>
      </c>
      <c r="D7" s="8" t="s">
        <v>109</v>
      </c>
      <c r="E7" s="17">
        <v>2</v>
      </c>
      <c r="F7" s="9">
        <v>2053.1999999999998</v>
      </c>
      <c r="G7" s="9">
        <f t="shared" si="0"/>
        <v>2053.1999999999998</v>
      </c>
      <c r="H7" s="10">
        <f>G7/B68</f>
        <v>21.633126119481613</v>
      </c>
      <c r="I7" s="11" t="s">
        <v>24</v>
      </c>
    </row>
    <row r="8" spans="1:11" x14ac:dyDescent="0.3">
      <c r="A8" s="7"/>
      <c r="B8" s="8" t="s">
        <v>26</v>
      </c>
      <c r="C8" s="8" t="s">
        <v>23</v>
      </c>
      <c r="D8" s="8" t="s">
        <v>109</v>
      </c>
      <c r="E8" s="17">
        <v>2</v>
      </c>
      <c r="F8" s="9">
        <v>849.6</v>
      </c>
      <c r="G8" s="9">
        <f t="shared" si="0"/>
        <v>849.6</v>
      </c>
      <c r="H8" s="10">
        <f>G8/B68</f>
        <v>8.9516383942682545</v>
      </c>
      <c r="I8" s="11" t="s">
        <v>27</v>
      </c>
    </row>
    <row r="9" spans="1:11" x14ac:dyDescent="0.3">
      <c r="A9" s="7"/>
      <c r="B9" s="8" t="s">
        <v>28</v>
      </c>
      <c r="C9" s="8" t="s">
        <v>29</v>
      </c>
      <c r="D9" s="8"/>
      <c r="E9" s="17">
        <v>8</v>
      </c>
      <c r="F9" s="9">
        <v>66</v>
      </c>
      <c r="G9" s="9">
        <f t="shared" si="0"/>
        <v>528</v>
      </c>
      <c r="H9" s="10">
        <f>G9/B68</f>
        <v>5.5631651037825307</v>
      </c>
      <c r="I9" s="11" t="s">
        <v>30</v>
      </c>
    </row>
    <row r="10" spans="1:11" x14ac:dyDescent="0.3">
      <c r="A10" s="2" t="s">
        <v>31</v>
      </c>
      <c r="B10" s="3" t="s">
        <v>32</v>
      </c>
      <c r="C10" s="3" t="s">
        <v>33</v>
      </c>
      <c r="D10" s="3">
        <v>10</v>
      </c>
      <c r="E10" s="16">
        <v>1</v>
      </c>
      <c r="F10" s="4">
        <v>24</v>
      </c>
      <c r="G10" s="4">
        <f t="shared" si="0"/>
        <v>240</v>
      </c>
      <c r="H10" s="5">
        <f>G10/B68</f>
        <v>2.5287114108102413</v>
      </c>
      <c r="I10" s="6" t="s">
        <v>59</v>
      </c>
      <c r="J10" s="21">
        <f>SUM(G10:G19)</f>
        <v>3271.2</v>
      </c>
      <c r="K10" s="22">
        <f>SUM(H10:H19)</f>
        <v>34.466336529343593</v>
      </c>
    </row>
    <row r="11" spans="1:11" x14ac:dyDescent="0.3">
      <c r="A11" s="2"/>
      <c r="B11" s="3" t="s">
        <v>32</v>
      </c>
      <c r="C11" s="3" t="s">
        <v>34</v>
      </c>
      <c r="D11" s="3">
        <v>10</v>
      </c>
      <c r="E11" s="16">
        <v>3</v>
      </c>
      <c r="F11" s="4">
        <v>24</v>
      </c>
      <c r="G11" s="4">
        <f t="shared" si="0"/>
        <v>240</v>
      </c>
      <c r="H11" s="5">
        <f>G11/B68</f>
        <v>2.5287114108102413</v>
      </c>
      <c r="I11" s="6" t="s">
        <v>59</v>
      </c>
    </row>
    <row r="12" spans="1:11" x14ac:dyDescent="0.3">
      <c r="A12" s="2"/>
      <c r="B12" s="3" t="s">
        <v>32</v>
      </c>
      <c r="C12" s="3" t="s">
        <v>35</v>
      </c>
      <c r="D12" s="3">
        <v>10</v>
      </c>
      <c r="E12" s="16">
        <v>8</v>
      </c>
      <c r="F12" s="4">
        <v>20</v>
      </c>
      <c r="G12" s="4">
        <f t="shared" si="0"/>
        <v>200</v>
      </c>
      <c r="H12" s="5">
        <f>G12/B68</f>
        <v>2.1072595090085344</v>
      </c>
      <c r="I12" s="6" t="s">
        <v>59</v>
      </c>
    </row>
    <row r="13" spans="1:11" x14ac:dyDescent="0.3">
      <c r="A13" s="2"/>
      <c r="B13" s="3" t="s">
        <v>32</v>
      </c>
      <c r="C13" s="3" t="s">
        <v>36</v>
      </c>
      <c r="D13" s="3">
        <v>10</v>
      </c>
      <c r="E13" s="16">
        <v>12</v>
      </c>
      <c r="F13" s="4">
        <v>21.6</v>
      </c>
      <c r="G13" s="4">
        <f t="shared" si="0"/>
        <v>259.20000000000005</v>
      </c>
      <c r="H13" s="5">
        <f>G13/B68</f>
        <v>2.7310083236750611</v>
      </c>
      <c r="I13" s="6" t="s">
        <v>59</v>
      </c>
    </row>
    <row r="14" spans="1:11" x14ac:dyDescent="0.3">
      <c r="A14" s="2"/>
      <c r="B14" s="3" t="s">
        <v>32</v>
      </c>
      <c r="C14" s="3" t="s">
        <v>37</v>
      </c>
      <c r="D14" s="3">
        <v>10</v>
      </c>
      <c r="E14" s="16">
        <v>6</v>
      </c>
      <c r="F14" s="4">
        <v>27.5</v>
      </c>
      <c r="G14" s="4">
        <f t="shared" si="0"/>
        <v>275</v>
      </c>
      <c r="H14" s="5">
        <f>G14/B68</f>
        <v>2.8974818248867349</v>
      </c>
      <c r="I14" s="6" t="s">
        <v>59</v>
      </c>
    </row>
    <row r="15" spans="1:11" x14ac:dyDescent="0.3">
      <c r="A15" s="2"/>
      <c r="B15" s="3" t="s">
        <v>32</v>
      </c>
      <c r="C15" s="3" t="s">
        <v>38</v>
      </c>
      <c r="D15" s="3">
        <v>10</v>
      </c>
      <c r="E15" s="16">
        <v>3</v>
      </c>
      <c r="F15" s="4">
        <v>27.5</v>
      </c>
      <c r="G15" s="4">
        <f t="shared" si="0"/>
        <v>275</v>
      </c>
      <c r="H15" s="5">
        <f>G15/B68</f>
        <v>2.8974818248867349</v>
      </c>
      <c r="I15" s="6" t="s">
        <v>59</v>
      </c>
    </row>
    <row r="16" spans="1:11" x14ac:dyDescent="0.3">
      <c r="A16" s="2"/>
      <c r="B16" s="3" t="s">
        <v>32</v>
      </c>
      <c r="C16" s="3" t="s">
        <v>39</v>
      </c>
      <c r="D16" s="3">
        <v>10</v>
      </c>
      <c r="E16" s="16">
        <v>30</v>
      </c>
      <c r="F16" s="4">
        <v>25</v>
      </c>
      <c r="G16" s="4">
        <f t="shared" si="0"/>
        <v>750</v>
      </c>
      <c r="H16" s="5">
        <f>G16/B68</f>
        <v>7.9022231587820047</v>
      </c>
      <c r="I16" s="6" t="s">
        <v>59</v>
      </c>
    </row>
    <row r="17" spans="1:11" x14ac:dyDescent="0.3">
      <c r="A17" s="2"/>
      <c r="B17" s="3" t="s">
        <v>40</v>
      </c>
      <c r="C17" s="3" t="s">
        <v>41</v>
      </c>
      <c r="D17" s="3">
        <v>10</v>
      </c>
      <c r="E17" s="16">
        <v>16</v>
      </c>
      <c r="F17" s="4">
        <v>3.5</v>
      </c>
      <c r="G17" s="4">
        <f t="shared" si="0"/>
        <v>56</v>
      </c>
      <c r="H17" s="5">
        <f>G17/B68</f>
        <v>0.59003266252238962</v>
      </c>
      <c r="I17" s="6" t="s">
        <v>59</v>
      </c>
    </row>
    <row r="18" spans="1:11" x14ac:dyDescent="0.3">
      <c r="A18" s="2"/>
      <c r="B18" s="3" t="s">
        <v>42</v>
      </c>
      <c r="C18" s="3" t="s">
        <v>41</v>
      </c>
      <c r="D18" s="3">
        <v>10</v>
      </c>
      <c r="E18" s="16">
        <v>28</v>
      </c>
      <c r="F18" s="4">
        <v>13</v>
      </c>
      <c r="G18" s="4">
        <f t="shared" si="0"/>
        <v>364</v>
      </c>
      <c r="H18" s="5">
        <f>G18/B68</f>
        <v>3.8352123063955328</v>
      </c>
      <c r="I18" s="6" t="s">
        <v>59</v>
      </c>
    </row>
    <row r="19" spans="1:11" x14ac:dyDescent="0.3">
      <c r="A19" s="2"/>
      <c r="B19" s="3" t="s">
        <v>43</v>
      </c>
      <c r="C19" s="3" t="s">
        <v>41</v>
      </c>
      <c r="D19" s="3">
        <v>10</v>
      </c>
      <c r="E19" s="16">
        <v>34</v>
      </c>
      <c r="F19" s="4">
        <v>18</v>
      </c>
      <c r="G19" s="4">
        <f t="shared" si="0"/>
        <v>612</v>
      </c>
      <c r="H19" s="5">
        <f>G19/B68</f>
        <v>6.4482140975661153</v>
      </c>
      <c r="I19" s="6" t="s">
        <v>44</v>
      </c>
    </row>
    <row r="20" spans="1:11" x14ac:dyDescent="0.3">
      <c r="A20" s="7" t="s">
        <v>45</v>
      </c>
      <c r="B20" s="8" t="s">
        <v>46</v>
      </c>
      <c r="C20" s="8" t="s">
        <v>47</v>
      </c>
      <c r="D20" s="8">
        <v>10</v>
      </c>
      <c r="E20" s="17">
        <v>2</v>
      </c>
      <c r="F20" s="9">
        <v>14</v>
      </c>
      <c r="G20" s="9">
        <f t="shared" si="0"/>
        <v>140</v>
      </c>
      <c r="H20" s="10">
        <f t="shared" ref="H20:H24" si="1">G20/95.8652148322543</f>
        <v>1.4603837298541822</v>
      </c>
      <c r="I20" s="9" t="s">
        <v>59</v>
      </c>
      <c r="J20" s="21">
        <f>SUM(G20:G23)</f>
        <v>607</v>
      </c>
      <c r="K20" s="22">
        <f>SUM(H20:H23)</f>
        <v>6.3808346833891099</v>
      </c>
    </row>
    <row r="21" spans="1:11" x14ac:dyDescent="0.3">
      <c r="A21" s="7"/>
      <c r="B21" s="8" t="s">
        <v>46</v>
      </c>
      <c r="C21" s="8" t="s">
        <v>48</v>
      </c>
      <c r="D21" s="8">
        <v>10</v>
      </c>
      <c r="E21" s="17">
        <v>12</v>
      </c>
      <c r="F21" s="9">
        <v>12</v>
      </c>
      <c r="G21" s="9">
        <f t="shared" si="0"/>
        <v>144</v>
      </c>
      <c r="H21" s="10">
        <f>G21/B68</f>
        <v>1.5172268464861449</v>
      </c>
      <c r="I21" s="9" t="s">
        <v>59</v>
      </c>
    </row>
    <row r="22" spans="1:11" x14ac:dyDescent="0.3">
      <c r="A22" s="7"/>
      <c r="B22" s="8" t="s">
        <v>49</v>
      </c>
      <c r="C22" s="8" t="s">
        <v>50</v>
      </c>
      <c r="D22" s="8"/>
      <c r="E22" s="17">
        <v>1</v>
      </c>
      <c r="F22" s="9">
        <v>143</v>
      </c>
      <c r="G22" s="9">
        <f t="shared" si="0"/>
        <v>143</v>
      </c>
      <c r="H22" s="10">
        <f>G22/B68</f>
        <v>1.5066905489411022</v>
      </c>
      <c r="I22" s="11" t="s">
        <v>51</v>
      </c>
    </row>
    <row r="23" spans="1:11" x14ac:dyDescent="0.3">
      <c r="A23" s="7"/>
      <c r="B23" s="8" t="s">
        <v>43</v>
      </c>
      <c r="C23" s="8" t="s">
        <v>50</v>
      </c>
      <c r="D23" s="8">
        <v>10</v>
      </c>
      <c r="E23" s="17">
        <v>2</v>
      </c>
      <c r="F23" s="9">
        <v>18</v>
      </c>
      <c r="G23" s="9">
        <f t="shared" si="0"/>
        <v>180</v>
      </c>
      <c r="H23" s="10">
        <f>G23/B68</f>
        <v>1.896533558107681</v>
      </c>
      <c r="I23" s="11" t="s">
        <v>44</v>
      </c>
      <c r="J23" s="20"/>
    </row>
    <row r="24" spans="1:11" x14ac:dyDescent="0.3">
      <c r="A24" s="2" t="s">
        <v>52</v>
      </c>
      <c r="B24" s="3" t="s">
        <v>46</v>
      </c>
      <c r="C24" s="3" t="s">
        <v>53</v>
      </c>
      <c r="D24" s="3">
        <v>10</v>
      </c>
      <c r="E24" s="16">
        <v>2</v>
      </c>
      <c r="F24" s="4">
        <v>11</v>
      </c>
      <c r="G24" s="4">
        <f t="shared" si="0"/>
        <v>110</v>
      </c>
      <c r="H24" s="5">
        <f t="shared" si="1"/>
        <v>1.1474443591711432</v>
      </c>
      <c r="I24" s="6" t="s">
        <v>59</v>
      </c>
      <c r="J24" s="4">
        <f t="shared" ref="J24:K26" si="2">SUM(G24)</f>
        <v>110</v>
      </c>
      <c r="K24" s="22">
        <f t="shared" si="2"/>
        <v>1.1474443591711432</v>
      </c>
    </row>
    <row r="25" spans="1:11" x14ac:dyDescent="0.3">
      <c r="A25" s="7" t="s">
        <v>54</v>
      </c>
      <c r="B25" s="8" t="s">
        <v>46</v>
      </c>
      <c r="C25" s="8" t="s">
        <v>55</v>
      </c>
      <c r="D25" s="8">
        <v>10</v>
      </c>
      <c r="E25" s="17">
        <v>6</v>
      </c>
      <c r="F25" s="9">
        <v>11</v>
      </c>
      <c r="G25" s="9">
        <f t="shared" si="0"/>
        <v>110</v>
      </c>
      <c r="H25" s="10">
        <f>G25/B68</f>
        <v>1.158992729954694</v>
      </c>
      <c r="I25" s="10" t="s">
        <v>59</v>
      </c>
      <c r="J25" s="10">
        <f t="shared" si="2"/>
        <v>110</v>
      </c>
      <c r="K25" s="22">
        <f t="shared" si="2"/>
        <v>1.158992729954694</v>
      </c>
    </row>
    <row r="26" spans="1:11" x14ac:dyDescent="0.3">
      <c r="A26" s="2" t="s">
        <v>56</v>
      </c>
      <c r="B26" s="3" t="s">
        <v>57</v>
      </c>
      <c r="C26" s="3" t="s">
        <v>58</v>
      </c>
      <c r="D26" s="3">
        <v>10</v>
      </c>
      <c r="E26" s="16">
        <v>16</v>
      </c>
      <c r="F26" s="4">
        <v>15</v>
      </c>
      <c r="G26" s="4">
        <f t="shared" si="0"/>
        <v>240</v>
      </c>
      <c r="H26" s="5">
        <f>G26/B68</f>
        <v>2.5287114108102413</v>
      </c>
      <c r="I26" s="6" t="s">
        <v>59</v>
      </c>
      <c r="J26" s="4">
        <f t="shared" si="2"/>
        <v>240</v>
      </c>
      <c r="K26" s="22">
        <f t="shared" si="2"/>
        <v>2.5287114108102413</v>
      </c>
    </row>
    <row r="27" spans="1:11" x14ac:dyDescent="0.3">
      <c r="A27" s="7" t="s">
        <v>60</v>
      </c>
      <c r="B27" s="8" t="s">
        <v>61</v>
      </c>
      <c r="C27" s="8" t="s">
        <v>118</v>
      </c>
      <c r="D27" s="8"/>
      <c r="E27" s="17">
        <v>6</v>
      </c>
      <c r="F27" s="9">
        <v>0</v>
      </c>
      <c r="G27" s="9">
        <f t="shared" si="0"/>
        <v>0</v>
      </c>
      <c r="H27" s="10">
        <f>G27/B68</f>
        <v>0</v>
      </c>
      <c r="I27" s="6" t="s">
        <v>111</v>
      </c>
      <c r="J27" s="21">
        <f>SUM(G27:G31)</f>
        <v>0</v>
      </c>
      <c r="K27" s="22">
        <f>SUM(H27:H31)</f>
        <v>0</v>
      </c>
    </row>
    <row r="28" spans="1:11" x14ac:dyDescent="0.3">
      <c r="A28" s="7"/>
      <c r="B28" s="8" t="s">
        <v>62</v>
      </c>
      <c r="C28" s="8" t="s">
        <v>119</v>
      </c>
      <c r="D28" s="8"/>
      <c r="E28" s="17">
        <v>2</v>
      </c>
      <c r="F28" s="9">
        <v>0</v>
      </c>
      <c r="G28" s="9">
        <f t="shared" si="0"/>
        <v>0</v>
      </c>
      <c r="H28" s="10">
        <f>G28/B68</f>
        <v>0</v>
      </c>
      <c r="I28" s="6" t="s">
        <v>112</v>
      </c>
    </row>
    <row r="29" spans="1:11" x14ac:dyDescent="0.3">
      <c r="A29" s="7"/>
      <c r="B29" s="8" t="s">
        <v>63</v>
      </c>
      <c r="C29" s="8" t="s">
        <v>116</v>
      </c>
      <c r="D29" s="8"/>
      <c r="E29" s="17">
        <v>1</v>
      </c>
      <c r="F29" s="9">
        <v>0</v>
      </c>
      <c r="G29" s="9">
        <f t="shared" si="0"/>
        <v>0</v>
      </c>
      <c r="H29" s="10">
        <f>G29/B68</f>
        <v>0</v>
      </c>
      <c r="I29" s="6" t="s">
        <v>114</v>
      </c>
    </row>
    <row r="30" spans="1:11" x14ac:dyDescent="0.3">
      <c r="A30" s="7"/>
      <c r="B30" s="8" t="s">
        <v>64</v>
      </c>
      <c r="C30" s="8" t="s">
        <v>117</v>
      </c>
      <c r="D30" s="8"/>
      <c r="E30" s="17">
        <v>1</v>
      </c>
      <c r="F30" s="9">
        <v>0</v>
      </c>
      <c r="G30" s="9">
        <f t="shared" si="0"/>
        <v>0</v>
      </c>
      <c r="H30" s="10">
        <f>G30/B68</f>
        <v>0</v>
      </c>
      <c r="I30" s="6" t="s">
        <v>113</v>
      </c>
    </row>
    <row r="31" spans="1:11" x14ac:dyDescent="0.3">
      <c r="A31" s="7"/>
      <c r="B31" s="8" t="s">
        <v>65</v>
      </c>
      <c r="C31" s="8" t="s">
        <v>120</v>
      </c>
      <c r="D31" s="8"/>
      <c r="E31" s="17">
        <v>1</v>
      </c>
      <c r="F31" s="9">
        <v>0</v>
      </c>
      <c r="G31" s="9">
        <f t="shared" si="0"/>
        <v>0</v>
      </c>
      <c r="H31" s="10">
        <f>G31/B68</f>
        <v>0</v>
      </c>
      <c r="I31" s="6" t="s">
        <v>115</v>
      </c>
    </row>
    <row r="32" spans="1:11" x14ac:dyDescent="0.3">
      <c r="A32" s="2" t="s">
        <v>66</v>
      </c>
      <c r="B32" s="3" t="s">
        <v>67</v>
      </c>
      <c r="C32" s="3"/>
      <c r="D32" s="3"/>
      <c r="E32" s="16">
        <v>1</v>
      </c>
      <c r="F32" s="4">
        <v>1480</v>
      </c>
      <c r="G32" s="4">
        <f t="shared" si="0"/>
        <v>1480</v>
      </c>
      <c r="H32" s="5">
        <f>G32/B68</f>
        <v>15.593720366663154</v>
      </c>
      <c r="I32" s="6" t="s">
        <v>68</v>
      </c>
      <c r="J32" s="21">
        <f>SUM(G32)</f>
        <v>1480</v>
      </c>
      <c r="K32" s="22">
        <f>SUM(H32)</f>
        <v>15.593720366663154</v>
      </c>
    </row>
    <row r="33" spans="1:11" x14ac:dyDescent="0.3">
      <c r="A33" s="7" t="s">
        <v>69</v>
      </c>
      <c r="B33" s="8" t="s">
        <v>70</v>
      </c>
      <c r="C33" s="8" t="s">
        <v>71</v>
      </c>
      <c r="D33" s="8"/>
      <c r="E33" s="17">
        <v>2</v>
      </c>
      <c r="F33" s="9">
        <v>19</v>
      </c>
      <c r="G33" s="9">
        <f t="shared" si="0"/>
        <v>38</v>
      </c>
      <c r="H33" s="10">
        <f>G33/B68</f>
        <v>0.40037930671162153</v>
      </c>
      <c r="I33" s="11" t="s">
        <v>72</v>
      </c>
      <c r="J33" s="21">
        <f>SUM(G33:G35)</f>
        <v>153</v>
      </c>
      <c r="K33" s="22">
        <f>SUM(H33:H35)</f>
        <v>1.6120535243915288</v>
      </c>
    </row>
    <row r="34" spans="1:11" x14ac:dyDescent="0.3">
      <c r="A34" s="7"/>
      <c r="B34" s="8" t="s">
        <v>73</v>
      </c>
      <c r="C34" s="8" t="s">
        <v>74</v>
      </c>
      <c r="D34" s="8"/>
      <c r="E34" s="17">
        <v>2</v>
      </c>
      <c r="F34" s="9">
        <v>0</v>
      </c>
      <c r="G34" s="9">
        <f t="shared" si="0"/>
        <v>0</v>
      </c>
      <c r="H34" s="10">
        <f>G34/B68</f>
        <v>0</v>
      </c>
      <c r="I34" s="8"/>
    </row>
    <row r="35" spans="1:11" x14ac:dyDescent="0.3">
      <c r="A35" s="7"/>
      <c r="B35" s="8" t="s">
        <v>75</v>
      </c>
      <c r="C35" s="8" t="s">
        <v>37</v>
      </c>
      <c r="D35" s="8"/>
      <c r="E35" s="17">
        <v>1</v>
      </c>
      <c r="F35" s="9">
        <v>115</v>
      </c>
      <c r="G35" s="9">
        <f t="shared" si="0"/>
        <v>115</v>
      </c>
      <c r="H35" s="10">
        <f>G35/B68</f>
        <v>1.2116742176799074</v>
      </c>
      <c r="I35" s="11" t="s">
        <v>59</v>
      </c>
    </row>
    <row r="36" spans="1:11" x14ac:dyDescent="0.3">
      <c r="A36" s="2" t="s">
        <v>76</v>
      </c>
      <c r="B36" s="3" t="s">
        <v>77</v>
      </c>
      <c r="C36" s="3"/>
      <c r="D36" s="3"/>
      <c r="E36" s="16">
        <v>1</v>
      </c>
      <c r="F36" s="4">
        <v>1900</v>
      </c>
      <c r="G36" s="4">
        <f t="shared" si="0"/>
        <v>1900</v>
      </c>
      <c r="H36" s="5">
        <f>G36/B68</f>
        <v>20.018965335581079</v>
      </c>
      <c r="I36" s="6" t="s">
        <v>78</v>
      </c>
      <c r="J36" s="21">
        <f>SUM(G36:G41)</f>
        <v>4138</v>
      </c>
      <c r="K36" s="22">
        <f>SUM(H36:H41)</f>
        <v>43.599199241386579</v>
      </c>
    </row>
    <row r="37" spans="1:11" x14ac:dyDescent="0.3">
      <c r="A37" s="2"/>
      <c r="B37" s="3" t="s">
        <v>79</v>
      </c>
      <c r="C37" s="3"/>
      <c r="D37" s="3"/>
      <c r="E37" s="16">
        <v>3</v>
      </c>
      <c r="F37" s="4">
        <v>99</v>
      </c>
      <c r="G37" s="4">
        <f t="shared" si="0"/>
        <v>297</v>
      </c>
      <c r="H37" s="5">
        <f>G37/B68</f>
        <v>3.1292803708776735</v>
      </c>
      <c r="I37" s="6" t="s">
        <v>80</v>
      </c>
    </row>
    <row r="38" spans="1:11" x14ac:dyDescent="0.3">
      <c r="A38" s="2"/>
      <c r="B38" s="3" t="s">
        <v>81</v>
      </c>
      <c r="C38" s="3"/>
      <c r="D38" s="3"/>
      <c r="E38" s="16">
        <v>1</v>
      </c>
      <c r="F38" s="4">
        <v>1749</v>
      </c>
      <c r="G38" s="4">
        <f t="shared" si="0"/>
        <v>1749</v>
      </c>
      <c r="H38" s="5">
        <f>G38/B68</f>
        <v>18.427984406279634</v>
      </c>
      <c r="I38" s="6" t="s">
        <v>82</v>
      </c>
    </row>
    <row r="39" spans="1:11" x14ac:dyDescent="0.3">
      <c r="A39" s="2"/>
      <c r="B39" s="3" t="s">
        <v>83</v>
      </c>
      <c r="C39" s="3"/>
      <c r="D39" s="3"/>
      <c r="E39" s="16">
        <v>1</v>
      </c>
      <c r="F39" s="4">
        <v>65</v>
      </c>
      <c r="G39" s="4">
        <f t="shared" si="0"/>
        <v>65</v>
      </c>
      <c r="H39" s="5">
        <f>G39/B68</f>
        <v>0.68485934042777374</v>
      </c>
      <c r="I39" s="6" t="s">
        <v>84</v>
      </c>
    </row>
    <row r="40" spans="1:11" x14ac:dyDescent="0.3">
      <c r="A40" s="2"/>
      <c r="B40" s="3" t="s">
        <v>85</v>
      </c>
      <c r="C40" s="3"/>
      <c r="D40" s="3"/>
      <c r="E40" s="16">
        <v>1</v>
      </c>
      <c r="F40" s="4">
        <v>99</v>
      </c>
      <c r="G40" s="4">
        <f t="shared" si="0"/>
        <v>99</v>
      </c>
      <c r="H40" s="5">
        <f>G40/B68</f>
        <v>1.0430934569592245</v>
      </c>
      <c r="I40" s="6" t="s">
        <v>86</v>
      </c>
    </row>
    <row r="41" spans="1:11" x14ac:dyDescent="0.3">
      <c r="A41" s="2"/>
      <c r="B41" s="3" t="s">
        <v>87</v>
      </c>
      <c r="C41" s="3"/>
      <c r="D41" s="3"/>
      <c r="E41" s="16">
        <v>2</v>
      </c>
      <c r="F41" s="4">
        <v>14</v>
      </c>
      <c r="G41" s="4">
        <f t="shared" si="0"/>
        <v>28</v>
      </c>
      <c r="H41" s="5">
        <f>G41/B68</f>
        <v>0.29501633126119481</v>
      </c>
      <c r="I41" s="6" t="s">
        <v>88</v>
      </c>
    </row>
    <row r="42" spans="1:11" x14ac:dyDescent="0.3">
      <c r="A42" s="7" t="s">
        <v>89</v>
      </c>
      <c r="B42" s="8" t="s">
        <v>90</v>
      </c>
      <c r="C42" s="8" t="s">
        <v>91</v>
      </c>
      <c r="D42" s="8"/>
      <c r="E42" s="17">
        <v>1</v>
      </c>
      <c r="F42" s="9">
        <v>229</v>
      </c>
      <c r="G42" s="8">
        <f t="shared" si="0"/>
        <v>229</v>
      </c>
      <c r="H42" s="10">
        <f>G42/B68</f>
        <v>2.4128121378147718</v>
      </c>
      <c r="I42" s="11" t="s">
        <v>92</v>
      </c>
      <c r="J42" s="21">
        <f>SUM(G42:G48)</f>
        <v>1608</v>
      </c>
      <c r="K42" s="22">
        <f>SUM(H42:H48)</f>
        <v>16.942366452428615</v>
      </c>
    </row>
    <row r="43" spans="1:11" x14ac:dyDescent="0.3">
      <c r="A43" s="7"/>
      <c r="B43" s="8" t="s">
        <v>93</v>
      </c>
      <c r="C43" s="8" t="s">
        <v>94</v>
      </c>
      <c r="D43" s="8"/>
      <c r="E43" s="17">
        <v>1</v>
      </c>
      <c r="F43" s="9">
        <v>229</v>
      </c>
      <c r="G43" s="8">
        <f t="shared" si="0"/>
        <v>229</v>
      </c>
      <c r="H43" s="10">
        <f>G43/B68</f>
        <v>2.4128121378147718</v>
      </c>
      <c r="I43" s="11" t="s">
        <v>95</v>
      </c>
    </row>
    <row r="44" spans="1:11" x14ac:dyDescent="0.3">
      <c r="A44" s="7"/>
      <c r="B44" s="8" t="s">
        <v>96</v>
      </c>
      <c r="C44" s="8" t="s">
        <v>97</v>
      </c>
      <c r="D44" s="8"/>
      <c r="E44" s="23" t="s">
        <v>121</v>
      </c>
      <c r="F44" s="9">
        <v>1150</v>
      </c>
      <c r="G44" s="8">
        <f t="shared" si="0"/>
        <v>1150</v>
      </c>
      <c r="H44" s="10">
        <f>G44/B68</f>
        <v>12.116742176799074</v>
      </c>
      <c r="I44" s="11" t="s">
        <v>98</v>
      </c>
    </row>
    <row r="45" spans="1:11" x14ac:dyDescent="0.3">
      <c r="A45" s="7"/>
      <c r="B45" s="8" t="s">
        <v>96</v>
      </c>
      <c r="C45" s="8" t="s">
        <v>99</v>
      </c>
      <c r="D45" s="8"/>
      <c r="E45" s="23" t="s">
        <v>122</v>
      </c>
      <c r="F45" s="9">
        <v>0</v>
      </c>
      <c r="G45" s="8">
        <f t="shared" si="0"/>
        <v>0</v>
      </c>
      <c r="H45" s="10">
        <f>G45/B68</f>
        <v>0</v>
      </c>
      <c r="I45" s="8" t="s">
        <v>98</v>
      </c>
    </row>
    <row r="46" spans="1:11" x14ac:dyDescent="0.3">
      <c r="A46" s="7"/>
      <c r="B46" s="8" t="s">
        <v>96</v>
      </c>
      <c r="C46" s="8" t="s">
        <v>100</v>
      </c>
      <c r="D46" s="8"/>
      <c r="E46" s="23" t="s">
        <v>122</v>
      </c>
      <c r="F46" s="9">
        <v>0</v>
      </c>
      <c r="G46" s="8">
        <f t="shared" si="0"/>
        <v>0</v>
      </c>
      <c r="H46" s="10">
        <f>G46/B68</f>
        <v>0</v>
      </c>
      <c r="I46" s="8" t="s">
        <v>98</v>
      </c>
    </row>
    <row r="47" spans="1:11" x14ac:dyDescent="0.3">
      <c r="A47" s="7"/>
      <c r="B47" s="8" t="s">
        <v>96</v>
      </c>
      <c r="C47" s="8" t="s">
        <v>101</v>
      </c>
      <c r="D47" s="8"/>
      <c r="E47" s="23" t="s">
        <v>123</v>
      </c>
      <c r="F47" s="9">
        <v>0</v>
      </c>
      <c r="G47" s="8">
        <f t="shared" si="0"/>
        <v>0</v>
      </c>
      <c r="H47" s="10">
        <f>G47/B68</f>
        <v>0</v>
      </c>
      <c r="I47" s="8" t="s">
        <v>98</v>
      </c>
    </row>
    <row r="48" spans="1:11" x14ac:dyDescent="0.3">
      <c r="A48" s="7"/>
      <c r="B48" s="8" t="s">
        <v>96</v>
      </c>
      <c r="C48" s="8" t="s">
        <v>102</v>
      </c>
      <c r="D48" s="8"/>
      <c r="E48" s="23" t="s">
        <v>122</v>
      </c>
      <c r="F48" s="9">
        <v>0</v>
      </c>
      <c r="G48" s="8">
        <f>IFERROR((IF(E48&gt;=D48,E48*F48,D48*F48)),F48)</f>
        <v>0</v>
      </c>
      <c r="H48" s="10">
        <f>G48/B68</f>
        <v>0</v>
      </c>
      <c r="I48" s="8" t="s">
        <v>98</v>
      </c>
    </row>
    <row r="49" spans="1:11" x14ac:dyDescent="0.3">
      <c r="A49" s="2" t="s">
        <v>103</v>
      </c>
      <c r="B49" s="3" t="s">
        <v>104</v>
      </c>
      <c r="C49" s="3"/>
      <c r="D49" s="3"/>
      <c r="E49" s="16">
        <v>1</v>
      </c>
      <c r="F49" s="4">
        <v>499</v>
      </c>
      <c r="G49" s="4">
        <f t="shared" si="0"/>
        <v>499</v>
      </c>
      <c r="H49" s="5">
        <f>G49/B68</f>
        <v>5.2576124749762938</v>
      </c>
      <c r="I49" s="6" t="s">
        <v>105</v>
      </c>
    </row>
    <row r="50" spans="1:11" x14ac:dyDescent="0.3">
      <c r="J50" s="21">
        <f>SUM(J2:J49)</f>
        <v>20207.599999999999</v>
      </c>
      <c r="K50" s="22">
        <f>SUM(K2:K49)</f>
        <v>212.88703997396897</v>
      </c>
    </row>
    <row r="51" spans="1:11" ht="15.6" x14ac:dyDescent="0.3">
      <c r="A51" s="12" t="s">
        <v>106</v>
      </c>
    </row>
    <row r="52" spans="1:11" x14ac:dyDescent="0.3">
      <c r="A52" s="13" t="s">
        <v>8</v>
      </c>
      <c r="B52" s="14"/>
      <c r="C52" s="14"/>
      <c r="D52" s="14"/>
      <c r="E52" s="14"/>
      <c r="F52" s="14"/>
      <c r="G52" s="30">
        <f>SUM(G2:G5)</f>
        <v>4328</v>
      </c>
      <c r="H52" s="29">
        <f>G52/B68</f>
        <v>45.601095774944689</v>
      </c>
      <c r="I52" s="14"/>
    </row>
    <row r="53" spans="1:11" x14ac:dyDescent="0.3">
      <c r="A53" s="13" t="s">
        <v>21</v>
      </c>
      <c r="B53" s="14"/>
      <c r="C53" s="14"/>
      <c r="D53" s="14"/>
      <c r="E53" s="14"/>
      <c r="F53" s="14"/>
      <c r="G53" s="30">
        <f>SUM(G6:G9)</f>
        <v>4162.3999999999996</v>
      </c>
      <c r="H53" s="29">
        <f>G53/B68</f>
        <v>43.856284901485616</v>
      </c>
      <c r="I53" s="14"/>
    </row>
    <row r="54" spans="1:11" x14ac:dyDescent="0.3">
      <c r="A54" s="13" t="s">
        <v>31</v>
      </c>
      <c r="B54" s="14"/>
      <c r="C54" s="14"/>
      <c r="D54" s="14"/>
      <c r="E54" s="14"/>
      <c r="F54" s="14"/>
      <c r="G54" s="30">
        <f>SUM(G10:G19)</f>
        <v>3271.2</v>
      </c>
      <c r="H54" s="29">
        <f>G54/B68</f>
        <v>34.466336529343586</v>
      </c>
      <c r="I54" s="14"/>
    </row>
    <row r="55" spans="1:11" x14ac:dyDescent="0.3">
      <c r="A55" s="13" t="s">
        <v>45</v>
      </c>
      <c r="B55" s="14"/>
      <c r="C55" s="14"/>
      <c r="D55" s="14"/>
      <c r="E55" s="14"/>
      <c r="F55" s="14"/>
      <c r="G55" s="30">
        <f>SUM(G20:G23)</f>
        <v>607</v>
      </c>
      <c r="H55" s="29">
        <f>G55/B68</f>
        <v>6.3955326098409024</v>
      </c>
      <c r="I55" s="14"/>
    </row>
    <row r="56" spans="1:11" x14ac:dyDescent="0.3">
      <c r="A56" s="13" t="s">
        <v>52</v>
      </c>
      <c r="B56" s="14"/>
      <c r="C56" s="14"/>
      <c r="D56" s="14"/>
      <c r="E56" s="14"/>
      <c r="F56" s="14"/>
      <c r="G56" s="30">
        <f>SUM(G24)</f>
        <v>110</v>
      </c>
      <c r="H56" s="29">
        <f>G56/B68</f>
        <v>1.158992729954694</v>
      </c>
      <c r="I56" s="14"/>
    </row>
    <row r="57" spans="1:11" x14ac:dyDescent="0.3">
      <c r="A57" s="13" t="s">
        <v>54</v>
      </c>
      <c r="B57" s="14"/>
      <c r="C57" s="14"/>
      <c r="D57" s="14"/>
      <c r="E57" s="14"/>
      <c r="F57" s="14"/>
      <c r="G57" s="30">
        <f>SUM(G25)</f>
        <v>110</v>
      </c>
      <c r="H57" s="29">
        <f>G57/B68</f>
        <v>1.158992729954694</v>
      </c>
      <c r="I57" s="14"/>
    </row>
    <row r="58" spans="1:11" x14ac:dyDescent="0.3">
      <c r="A58" s="13" t="s">
        <v>56</v>
      </c>
      <c r="B58" s="14"/>
      <c r="C58" s="14"/>
      <c r="D58" s="14"/>
      <c r="E58" s="14"/>
      <c r="F58" s="14"/>
      <c r="G58" s="30">
        <f>SUM(G26)</f>
        <v>240</v>
      </c>
      <c r="H58" s="29">
        <f>G58/B68</f>
        <v>2.5287114108102413</v>
      </c>
      <c r="I58" s="14"/>
    </row>
    <row r="59" spans="1:11" x14ac:dyDescent="0.3">
      <c r="A59" s="13" t="s">
        <v>60</v>
      </c>
      <c r="B59" s="14"/>
      <c r="C59" s="14"/>
      <c r="D59" s="14"/>
      <c r="E59" s="14"/>
      <c r="F59" s="14"/>
      <c r="G59" s="30">
        <f>SUM(G27:G31)</f>
        <v>0</v>
      </c>
      <c r="H59" s="29">
        <f>G59/B68</f>
        <v>0</v>
      </c>
      <c r="I59" s="14"/>
    </row>
    <row r="60" spans="1:11" x14ac:dyDescent="0.3">
      <c r="A60" s="13" t="s">
        <v>66</v>
      </c>
      <c r="B60" s="14"/>
      <c r="C60" s="14"/>
      <c r="D60" s="14"/>
      <c r="E60" s="14"/>
      <c r="F60" s="14"/>
      <c r="G60" s="30">
        <f>SUM(G32)</f>
        <v>1480</v>
      </c>
      <c r="H60" s="29">
        <f>G60/B68</f>
        <v>15.593720366663154</v>
      </c>
      <c r="I60" s="14"/>
    </row>
    <row r="61" spans="1:11" x14ac:dyDescent="0.3">
      <c r="A61" s="13" t="s">
        <v>69</v>
      </c>
      <c r="B61" s="14"/>
      <c r="C61" s="14"/>
      <c r="D61" s="14"/>
      <c r="E61" s="14"/>
      <c r="F61" s="14"/>
      <c r="G61" s="30">
        <f>SUM(G33:G35)</f>
        <v>153</v>
      </c>
      <c r="H61" s="29">
        <f>G61/B68</f>
        <v>1.6120535243915288</v>
      </c>
      <c r="I61" s="14"/>
    </row>
    <row r="62" spans="1:11" x14ac:dyDescent="0.3">
      <c r="A62" s="13" t="s">
        <v>76</v>
      </c>
      <c r="B62" s="14"/>
      <c r="C62" s="14"/>
      <c r="D62" s="14"/>
      <c r="E62" s="14"/>
      <c r="F62" s="14"/>
      <c r="G62" s="30">
        <f>SUM(G36:G41)</f>
        <v>4138</v>
      </c>
      <c r="H62" s="29">
        <f>G62/B68</f>
        <v>43.599199241386579</v>
      </c>
      <c r="I62" s="14"/>
    </row>
    <row r="63" spans="1:11" x14ac:dyDescent="0.3">
      <c r="A63" s="13" t="s">
        <v>89</v>
      </c>
      <c r="B63" s="14"/>
      <c r="C63" s="14"/>
      <c r="D63" s="14"/>
      <c r="E63" s="14"/>
      <c r="F63" s="14"/>
      <c r="G63" s="30">
        <v>1150</v>
      </c>
      <c r="H63" s="29">
        <f>G63/B68</f>
        <v>12.116742176799074</v>
      </c>
      <c r="I63" s="14"/>
    </row>
    <row r="64" spans="1:11" x14ac:dyDescent="0.3">
      <c r="A64" s="13" t="s">
        <v>103</v>
      </c>
      <c r="B64" s="14"/>
      <c r="C64" s="14"/>
      <c r="D64" s="14"/>
      <c r="E64" s="14"/>
      <c r="F64" s="14"/>
      <c r="G64" s="30">
        <f>SUM(G49)</f>
        <v>499</v>
      </c>
      <c r="H64" s="29">
        <f>G64/B68</f>
        <v>5.2576124749762938</v>
      </c>
      <c r="I64" s="14"/>
    </row>
    <row r="65" spans="1:9" x14ac:dyDescent="0.3">
      <c r="A65" s="13" t="s">
        <v>134</v>
      </c>
      <c r="B65" s="14"/>
      <c r="C65" s="14"/>
      <c r="D65" s="14"/>
      <c r="E65" s="14"/>
      <c r="F65" s="14"/>
      <c r="G65" s="30">
        <v>500</v>
      </c>
      <c r="H65" s="29">
        <f>G65/B68</f>
        <v>5.2681487725213358</v>
      </c>
      <c r="I65" s="14"/>
    </row>
    <row r="66" spans="1:9" ht="15.6" x14ac:dyDescent="0.3">
      <c r="A66" s="15" t="s">
        <v>107</v>
      </c>
      <c r="B66" s="15"/>
      <c r="C66" s="15"/>
      <c r="D66" s="15"/>
      <c r="E66" s="15"/>
      <c r="F66" s="15"/>
      <c r="G66" s="31">
        <f>SUM(G52:G65)</f>
        <v>20748.599999999999</v>
      </c>
      <c r="H66" s="32">
        <f>SUM(H52:H65)</f>
        <v>218.61342324307239</v>
      </c>
      <c r="I66" s="15"/>
    </row>
    <row r="68" spans="1:9" x14ac:dyDescent="0.3">
      <c r="A68" s="18" t="s">
        <v>110</v>
      </c>
      <c r="B68" s="18">
        <v>94.91</v>
      </c>
    </row>
  </sheetData>
  <phoneticPr fontId="8" type="noConversion"/>
  <hyperlinks>
    <hyperlink ref="I2" r:id="rId1" xr:uid="{00000000-0004-0000-0000-000000000000}"/>
    <hyperlink ref="I3" r:id="rId2" xr:uid="{00000000-0004-0000-0000-000001000000}"/>
    <hyperlink ref="I4" r:id="rId3" xr:uid="{00000000-0004-0000-0000-000002000000}"/>
    <hyperlink ref="I5" r:id="rId4" xr:uid="{00000000-0004-0000-0000-000003000000}"/>
    <hyperlink ref="I6" r:id="rId5" xr:uid="{00000000-0004-0000-0000-000004000000}"/>
    <hyperlink ref="I7" r:id="rId6" xr:uid="{00000000-0004-0000-0000-000005000000}"/>
    <hyperlink ref="I8" r:id="rId7" xr:uid="{00000000-0004-0000-0000-000006000000}"/>
    <hyperlink ref="I9" r:id="rId8" xr:uid="{00000000-0004-0000-0000-000007000000}"/>
    <hyperlink ref="I19" r:id="rId9" xr:uid="{00000000-0004-0000-0000-000008000000}"/>
    <hyperlink ref="I22" r:id="rId10" xr:uid="{00000000-0004-0000-0000-000009000000}"/>
    <hyperlink ref="I23" r:id="rId11" xr:uid="{00000000-0004-0000-0000-00000A000000}"/>
    <hyperlink ref="I26" r:id="rId12" xr:uid="{00000000-0004-0000-0000-00000B000000}"/>
    <hyperlink ref="I32" r:id="rId13" xr:uid="{00000000-0004-0000-0000-00000C000000}"/>
    <hyperlink ref="I33" r:id="rId14" xr:uid="{00000000-0004-0000-0000-00000D000000}"/>
    <hyperlink ref="I35" r:id="rId15" xr:uid="{00000000-0004-0000-0000-00000E000000}"/>
    <hyperlink ref="I36" r:id="rId16" xr:uid="{00000000-0004-0000-0000-00000F000000}"/>
    <hyperlink ref="I37" r:id="rId17" xr:uid="{00000000-0004-0000-0000-000010000000}"/>
    <hyperlink ref="I38" r:id="rId18" xr:uid="{00000000-0004-0000-0000-000011000000}"/>
    <hyperlink ref="I39" r:id="rId19" xr:uid="{00000000-0004-0000-0000-000012000000}"/>
    <hyperlink ref="I40" r:id="rId20" xr:uid="{00000000-0004-0000-0000-000013000000}"/>
    <hyperlink ref="I41" r:id="rId21" xr:uid="{00000000-0004-0000-0000-000014000000}"/>
    <hyperlink ref="I42" r:id="rId22" xr:uid="{00000000-0004-0000-0000-000015000000}"/>
    <hyperlink ref="I43" r:id="rId23" xr:uid="{00000000-0004-0000-0000-000016000000}"/>
    <hyperlink ref="I44" r:id="rId24" xr:uid="{00000000-0004-0000-0000-000017000000}"/>
    <hyperlink ref="I49" r:id="rId25" xr:uid="{00000000-0004-0000-0000-000018000000}"/>
    <hyperlink ref="I25" r:id="rId26" xr:uid="{B162FA05-DC85-4C84-9CAF-F15C853801ED}"/>
    <hyperlink ref="I24" r:id="rId27" xr:uid="{1D997B62-3498-4408-A616-D9BC932889EB}"/>
    <hyperlink ref="I21" r:id="rId28" xr:uid="{381B9DF0-2E80-4A61-9CFE-D00866D1A4AF}"/>
    <hyperlink ref="I20" r:id="rId29" xr:uid="{DB7AAC26-FC4F-44D4-88D7-984A4DD96BFA}"/>
    <hyperlink ref="I10:I15" r:id="rId30" display="https://www.3dprintronics.com/fasteners" xr:uid="{19F6BA29-2DE5-463D-A034-83FCD9C3FD30}"/>
    <hyperlink ref="I16" r:id="rId31" xr:uid="{494C1075-C723-45EC-8665-F6C4E5307F07}"/>
    <hyperlink ref="I17" r:id="rId32" xr:uid="{0C42FD8B-D628-4570-A232-129EC5FAF963}"/>
    <hyperlink ref="I18" r:id="rId33" xr:uid="{E996972B-6776-49D0-AB1B-3CBE28FFE313}"/>
    <hyperlink ref="I27" r:id="rId34" xr:uid="{DBC20226-9AEB-41F4-95CE-56900FF2F527}"/>
    <hyperlink ref="I28" r:id="rId35" xr:uid="{D5396AEF-92EE-4354-BC16-9AB933B15BAD}"/>
    <hyperlink ref="I29" r:id="rId36" xr:uid="{072D8D3C-8E52-4EB7-906E-A8D1757CAAE3}"/>
    <hyperlink ref="I30" r:id="rId37" xr:uid="{C9BDB849-F96D-4AA2-9C10-D50980375317}"/>
    <hyperlink ref="I31" r:id="rId38" xr:uid="{8FA1EB46-CDD9-475A-850F-9BB8C8982ECA}"/>
  </hyperlink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6FCF16-D31E-41C2-9C69-45ADCEF2647F}">
  <dimension ref="A1:G10"/>
  <sheetViews>
    <sheetView workbookViewId="0">
      <selection activeCell="D10" sqref="D10"/>
    </sheetView>
  </sheetViews>
  <sheetFormatPr defaultRowHeight="14.4" x14ac:dyDescent="0.3"/>
  <cols>
    <col min="2" max="2" width="19.33203125" customWidth="1"/>
    <col min="4" max="4" width="13" customWidth="1"/>
    <col min="5" max="5" width="10.33203125" bestFit="1" customWidth="1"/>
  </cols>
  <sheetData>
    <row r="1" spans="1:7" x14ac:dyDescent="0.3">
      <c r="B1" t="s">
        <v>128</v>
      </c>
      <c r="E1" t="s">
        <v>132</v>
      </c>
      <c r="G1" t="s">
        <v>133</v>
      </c>
    </row>
    <row r="2" spans="1:7" ht="15" x14ac:dyDescent="0.3">
      <c r="A2" s="24" t="s">
        <v>124</v>
      </c>
      <c r="B2" s="26">
        <v>11798</v>
      </c>
      <c r="D2" t="s">
        <v>129</v>
      </c>
      <c r="E2" s="25">
        <v>4478</v>
      </c>
      <c r="G2">
        <v>763</v>
      </c>
    </row>
    <row r="3" spans="1:7" ht="15" x14ac:dyDescent="0.3">
      <c r="A3" s="24" t="s">
        <v>125</v>
      </c>
      <c r="B3" s="26">
        <v>450</v>
      </c>
      <c r="D3" t="s">
        <v>125</v>
      </c>
      <c r="E3" t="s">
        <v>130</v>
      </c>
      <c r="G3">
        <v>100</v>
      </c>
    </row>
    <row r="4" spans="1:7" ht="30" x14ac:dyDescent="0.3">
      <c r="A4" s="24" t="s">
        <v>126</v>
      </c>
      <c r="B4" s="26">
        <v>2204.64</v>
      </c>
      <c r="D4" t="s">
        <v>131</v>
      </c>
      <c r="E4" s="25">
        <v>806.04</v>
      </c>
      <c r="G4">
        <v>137.34</v>
      </c>
    </row>
    <row r="5" spans="1:7" ht="19.8" x14ac:dyDescent="0.3">
      <c r="A5" s="27" t="s">
        <v>127</v>
      </c>
      <c r="B5" s="28">
        <v>14452.64</v>
      </c>
      <c r="D5" t="s">
        <v>127</v>
      </c>
      <c r="E5" s="19">
        <v>5284.04</v>
      </c>
      <c r="G5">
        <v>900.34</v>
      </c>
    </row>
    <row r="9" spans="1:7" x14ac:dyDescent="0.3">
      <c r="B9" s="25">
        <f>SUM(B5:G5)</f>
        <v>20637.02</v>
      </c>
      <c r="C9" s="25">
        <f>B9/94.91</f>
        <v>217.43778316299654</v>
      </c>
    </row>
    <row r="10" spans="1:7" x14ac:dyDescent="0.3">
      <c r="D10">
        <f>4*94.91</f>
        <v>379.64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A3 CNC Pen Plotter BOM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Nitin Swarnkar</cp:lastModifiedBy>
  <cp:revision>0</cp:revision>
  <dcterms:created xsi:type="dcterms:W3CDTF">2026-09-01T00:17:30Z</dcterms:created>
  <dcterms:modified xsi:type="dcterms:W3CDTF">2026-10-16T21:07:48Z</dcterms:modified>
  <dc:language>en-US</dc:language>
</cp:coreProperties>
</file>