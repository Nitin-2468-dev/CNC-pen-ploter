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tin\Documents\.Glyph-Writer\CNC-pen-ploter\BOM\"/>
    </mc:Choice>
  </mc:AlternateContent>
  <xr:revisionPtr revIDLastSave="0" documentId="13_ncr:1_{7AB05378-4D93-47E0-88B4-073B555C7C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s" sheetId="1" r:id="rId1"/>
    <sheet name="Custom Extrusions" sheetId="5" r:id="rId2"/>
    <sheet name="Store Summary" sheetId="2" r:id="rId3"/>
    <sheet name="Build Cost" sheetId="3" r:id="rId4"/>
    <sheet name="Purchase Statu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4" i="1"/>
  <c r="E13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<sst xmlns="http://schemas.openxmlformats.org/spreadsheetml/2006/main" count="149" uniqueCount="94">
  <si>
    <t>Category</t>
  </si>
  <si>
    <t>Part</t>
  </si>
  <si>
    <t>Qty</t>
  </si>
  <si>
    <t>Store</t>
  </si>
  <si>
    <t>Notes</t>
  </si>
  <si>
    <t>Ordered</t>
  </si>
  <si>
    <t>Received</t>
  </si>
  <si>
    <t>MKS DLC32</t>
  </si>
  <si>
    <t>REES52</t>
  </si>
  <si>
    <t>NEMA17 Stepper Motor</t>
  </si>
  <si>
    <t>Shipping</t>
  </si>
  <si>
    <t>GST</t>
  </si>
  <si>
    <t>Unit Cost</t>
  </si>
  <si>
    <t>Total Cost</t>
  </si>
  <si>
    <t>URL</t>
  </si>
  <si>
    <t>M3x6 Nylon Spacer Pack</t>
  </si>
  <si>
    <t>GT2 Belt 2m</t>
  </si>
  <si>
    <t>MKS DLC32 V2.1</t>
  </si>
  <si>
    <t>MakerBazar</t>
  </si>
  <si>
    <t>20mm Conduit</t>
  </si>
  <si>
    <t>Concrete Nail</t>
  </si>
  <si>
    <t>GT2 Pulley 20T</t>
  </si>
  <si>
    <t>3DPrintronics</t>
  </si>
  <si>
    <t>Limit Switch</t>
  </si>
  <si>
    <t>ACRO Plate Set</t>
  </si>
  <si>
    <t>Meanwell LRS-150-24</t>
  </si>
  <si>
    <t>https://rees52.com/products/m3x6mm-nylon-hex-spacer-m3x6mm-female-to-female-nylon-hex-spacer-pack-of-10-rs3713?_pos=2&amp;_sid=0e8c956e0&amp;_ss=r</t>
  </si>
  <si>
    <t>https://rees52.com/products/gt2-timing-belt-gt2-open-loop-timing-belt-6mm-width-for-3d-printer-2-meter-rs3184?</t>
  </si>
  <si>
    <t>https://rees52.com/products/makerbase-mks-dlc32-v2-1-offline-controller-board-for-standalone-3d-printer-cnc-board?selling_plan=2556362919&amp;variant=47709331161255</t>
  </si>
  <si>
    <t>https://makerbazar.in/products/gi-flexible-electrical-conduit-pipe?variant=49720866930928</t>
  </si>
  <si>
    <t>https://makerbazar.in/products/concrete-iron-nails?variant=44871802716400</t>
  </si>
  <si>
    <t>https://makerbazar.in/products/aluminum-gt2-timing-pulley-20-tooth-5mm-bore-for-6mm-belt?variant=49719331225840</t>
  </si>
  <si>
    <t>https://www.3dprintronics.com/products/limit-switch-for-cnc-3d-printers</t>
  </si>
  <si>
    <t>https://www.3dprintronics.com/products/original-meanwell-psu-lrs-150-24</t>
  </si>
  <si>
    <t>https://www.3dprintronics.com/products/acro-acrylic-plate-set</t>
  </si>
  <si>
    <t>Specification</t>
  </si>
  <si>
    <t>Cost (₹)</t>
  </si>
  <si>
    <t>M5 Ultra Low Profile Screw</t>
  </si>
  <si>
    <t>8mm</t>
  </si>
  <si>
    <t>10mm</t>
  </si>
  <si>
    <t>12mm</t>
  </si>
  <si>
    <t>15mm</t>
  </si>
  <si>
    <t>25mm</t>
  </si>
  <si>
    <t>30mm</t>
  </si>
  <si>
    <t>40mm</t>
  </si>
  <si>
    <t>50mm</t>
  </si>
  <si>
    <t>M3 Ultra Low Profile Screw</t>
  </si>
  <si>
    <t>Drop-In T-Nut</t>
  </si>
  <si>
    <t>M3</t>
  </si>
  <si>
    <t>M5</t>
  </si>
  <si>
    <t>Straight Grained Knob</t>
  </si>
  <si>
    <t>M4 × 15mm</t>
  </si>
  <si>
    <t>Corner Bracket</t>
  </si>
  <si>
    <t>20 Series Black</t>
  </si>
  <si>
    <t>Aluminium Spacer</t>
  </si>
  <si>
    <t>5.1mm ID × 6mm</t>
  </si>
  <si>
    <t>Plain Washer</t>
  </si>
  <si>
    <t>M5 Shim</t>
  </si>
  <si>
    <t>Nylon Lock Nut</t>
  </si>
  <si>
    <t>Delrin Solid V Wheel Kit</t>
  </si>
  <si>
    <t>V-Slot</t>
  </si>
  <si>
    <t>V-Slot Extrusion 2040</t>
  </si>
  <si>
    <t>Custom Cut Set</t>
  </si>
  <si>
    <t>V-Slot Extrusion 2020</t>
  </si>
  <si>
    <t>Summary</t>
  </si>
  <si>
    <t>Cost</t>
  </si>
  <si>
    <t>Subtotal</t>
  </si>
  <si>
    <t>Total</t>
  </si>
  <si>
    <t>2040 V-Slot</t>
  </si>
  <si>
    <t>1×444mm, 2×610mm, off-cuts included</t>
  </si>
  <si>
    <t>2020 V-Slot</t>
  </si>
  <si>
    <t>2×410mm, off-cuts included</t>
  </si>
  <si>
    <t>Custom Extrusions</t>
  </si>
  <si>
    <t>Included</t>
  </si>
  <si>
    <t>Hardware &amp; Electronics</t>
  </si>
  <si>
    <t>3D Printed Parts</t>
  </si>
  <si>
    <t>Total Build Cost</t>
  </si>
  <si>
    <t>Approx. USD</t>
  </si>
  <si>
    <t>$220.67</t>
  </si>
  <si>
    <t>☐</t>
  </si>
  <si>
    <t>NEMA17 Stepper</t>
  </si>
  <si>
    <t>GT2 Belt</t>
  </si>
  <si>
    <t>GT2 Pulley</t>
  </si>
  <si>
    <t>Meanwell PSU</t>
  </si>
  <si>
    <t>V-Wheels</t>
  </si>
  <si>
    <t>V-Slot Extrusions</t>
  </si>
  <si>
    <t>2 sets</t>
  </si>
  <si>
    <t>https://makerbazar.in/products/small-servo-plastic-gear-svg90s?variant=45449411395824</t>
  </si>
  <si>
    <t xml:space="preserve">SG Series TowerPro Small Servo Motor </t>
  </si>
  <si>
    <t>https://rees52.com/products/17hs4401s-nema-17-stepper-motor-for-3d-printer?_pos=4&amp;_sid=48153941e&amp;_ss=r</t>
  </si>
  <si>
    <t>DRV8825 Stepper Motor Driver with Aluminum Heat Sink</t>
  </si>
  <si>
    <t>https://makerbazar.in/products/drv8825-stepper-motor-driver-with-aluminum-heat-sink?variant=45989819384048</t>
  </si>
  <si>
    <t>https://makerbazar.in/products/xl6009-dc-dc-adjustable-boost-buck-step-up-step-down-converter-module?variant=49621760803056</t>
  </si>
  <si>
    <t>XL6009 DC-DC Adjustable Boost-Buck Step-Up Step-Down Converter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</si>
</sst>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8" fontId="0" fillId="0" borderId="0" xfId="0" applyNumberFormat="1"/>
    <xf numFmtId="8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8" fontId="2" fillId="0" borderId="0" xfId="0" applyNumberFormat="1" applyFont="1" applyAlignment="1">
      <alignment horizontal="right" vertical="center" wrapText="1"/>
    </xf>
    <xf numFmtId="0" fontId="3" fillId="0" borderId="0" xfId="1" applyAlignment="1">
      <alignment vertical="center"/>
    </xf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kerbazar.in/products/small-servo-plastic-gear-svg90s?variant=45449411395824" TargetMode="External"/><Relationship Id="rId2" Type="http://schemas.openxmlformats.org/officeDocument/2006/relationships/hyperlink" Target="https://rees52.com/products/makerbase-mks-dlc32-v2-1-offline-controller-board-for-standalone-3d-printer-cnc-board?selling_plan=2556362919&amp;variant=47709331161255" TargetMode="External"/><Relationship Id="rId1" Type="http://schemas.openxmlformats.org/officeDocument/2006/relationships/hyperlink" Target="https://makerbazar.in/products/concrete-iron-nails?variant=44871802716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B15" sqref="B15"/>
    </sheetView>
  </sheetViews>
  <sheetFormatPr defaultRowHeight="14.4" x14ac:dyDescent="0.3"/>
  <cols>
    <col min="1" max="1" width="12.5546875" customWidth="1"/>
    <col min="2" max="2" width="28.44140625" customWidth="1"/>
    <col min="4" max="5" width="10.33203125" bestFit="1" customWidth="1"/>
  </cols>
  <sheetData>
    <row r="1" spans="1:10" ht="19.2" customHeight="1" x14ac:dyDescent="0.3">
      <c r="A1" s="3" t="s">
        <v>3</v>
      </c>
      <c r="B1" s="3" t="s">
        <v>1</v>
      </c>
      <c r="C1" s="5" t="s">
        <v>2</v>
      </c>
      <c r="D1" s="5" t="s">
        <v>12</v>
      </c>
      <c r="E1" s="5" t="s">
        <v>13</v>
      </c>
      <c r="F1" s="3" t="s">
        <v>14</v>
      </c>
      <c r="G1" s="1"/>
      <c r="H1" s="1"/>
      <c r="I1" s="1"/>
      <c r="J1" s="1"/>
    </row>
    <row r="2" spans="1:10" x14ac:dyDescent="0.3">
      <c r="A2" s="6" t="s">
        <v>8</v>
      </c>
      <c r="B2" s="8" t="s">
        <v>15</v>
      </c>
      <c r="C2" s="4">
        <v>1</v>
      </c>
      <c r="D2" s="7">
        <v>28</v>
      </c>
      <c r="E2" s="7">
        <f>D2*C2</f>
        <v>28</v>
      </c>
      <c r="F2" s="8" t="s">
        <v>26</v>
      </c>
    </row>
    <row r="3" spans="1:10" x14ac:dyDescent="0.3">
      <c r="A3" s="6" t="s">
        <v>8</v>
      </c>
      <c r="B3" s="8" t="s">
        <v>16</v>
      </c>
      <c r="C3" s="4">
        <v>1</v>
      </c>
      <c r="D3" s="7">
        <v>97.02</v>
      </c>
      <c r="E3" s="7">
        <f t="shared" ref="E3:E14" si="0">D3*C3</f>
        <v>97.02</v>
      </c>
      <c r="F3" s="8" t="s">
        <v>27</v>
      </c>
    </row>
    <row r="4" spans="1:10" x14ac:dyDescent="0.3">
      <c r="A4" s="6" t="s">
        <v>8</v>
      </c>
      <c r="B4" s="8" t="s">
        <v>9</v>
      </c>
      <c r="C4" s="4">
        <v>3</v>
      </c>
      <c r="D4" s="7">
        <v>450</v>
      </c>
      <c r="E4" s="7">
        <f t="shared" si="0"/>
        <v>1350</v>
      </c>
      <c r="F4" s="13" t="s">
        <v>89</v>
      </c>
    </row>
    <row r="5" spans="1:10" x14ac:dyDescent="0.3">
      <c r="A5" s="6" t="s">
        <v>8</v>
      </c>
      <c r="B5" s="8" t="s">
        <v>17</v>
      </c>
      <c r="C5" s="4">
        <v>1</v>
      </c>
      <c r="D5" s="7">
        <v>1959.02</v>
      </c>
      <c r="E5" s="7">
        <f t="shared" si="0"/>
        <v>1959.02</v>
      </c>
      <c r="F5" s="13" t="s">
        <v>28</v>
      </c>
    </row>
    <row r="6" spans="1:10" x14ac:dyDescent="0.3">
      <c r="A6" s="6" t="s">
        <v>18</v>
      </c>
      <c r="B6" s="8" t="s">
        <v>19</v>
      </c>
      <c r="C6" s="4">
        <v>1</v>
      </c>
      <c r="D6" s="7">
        <v>499</v>
      </c>
      <c r="E6" s="7">
        <f t="shared" si="0"/>
        <v>499</v>
      </c>
      <c r="F6" s="8" t="s">
        <v>29</v>
      </c>
    </row>
    <row r="7" spans="1:10" x14ac:dyDescent="0.3">
      <c r="A7" s="6" t="s">
        <v>18</v>
      </c>
      <c r="B7" s="8" t="s">
        <v>20</v>
      </c>
      <c r="C7" s="4">
        <v>2</v>
      </c>
      <c r="D7" s="7">
        <v>19</v>
      </c>
      <c r="E7" s="7">
        <f t="shared" si="0"/>
        <v>38</v>
      </c>
      <c r="F7" s="13" t="s">
        <v>30</v>
      </c>
    </row>
    <row r="8" spans="1:10" x14ac:dyDescent="0.3">
      <c r="A8" s="6" t="s">
        <v>18</v>
      </c>
      <c r="B8" s="8" t="s">
        <v>21</v>
      </c>
      <c r="C8" s="4">
        <v>3</v>
      </c>
      <c r="D8" s="7">
        <v>59</v>
      </c>
      <c r="E8" s="7">
        <f t="shared" si="0"/>
        <v>177</v>
      </c>
      <c r="F8" s="8" t="s">
        <v>31</v>
      </c>
    </row>
    <row r="9" spans="1:10" x14ac:dyDescent="0.3">
      <c r="A9" s="6" t="s">
        <v>22</v>
      </c>
      <c r="B9" s="8" t="s">
        <v>23</v>
      </c>
      <c r="C9" s="4">
        <v>2</v>
      </c>
      <c r="D9" s="7">
        <v>115</v>
      </c>
      <c r="E9" s="7">
        <f t="shared" si="0"/>
        <v>230</v>
      </c>
      <c r="F9" s="8" t="s">
        <v>32</v>
      </c>
    </row>
    <row r="10" spans="1:10" x14ac:dyDescent="0.3">
      <c r="A10" s="6" t="s">
        <v>22</v>
      </c>
      <c r="B10" s="8" t="s">
        <v>24</v>
      </c>
      <c r="C10" s="4">
        <v>1</v>
      </c>
      <c r="D10" s="7">
        <v>1480</v>
      </c>
      <c r="E10" s="7">
        <f t="shared" si="0"/>
        <v>1480</v>
      </c>
      <c r="F10" s="8" t="s">
        <v>33</v>
      </c>
    </row>
    <row r="11" spans="1:10" x14ac:dyDescent="0.3">
      <c r="A11" s="6" t="s">
        <v>22</v>
      </c>
      <c r="B11" s="8" t="s">
        <v>25</v>
      </c>
      <c r="C11" s="4">
        <v>1</v>
      </c>
      <c r="D11" s="7">
        <v>1489</v>
      </c>
      <c r="E11" s="7">
        <f t="shared" si="0"/>
        <v>1489</v>
      </c>
      <c r="F11" s="8" t="s">
        <v>34</v>
      </c>
    </row>
    <row r="12" spans="1:10" x14ac:dyDescent="0.3">
      <c r="A12" s="6" t="s">
        <v>18</v>
      </c>
      <c r="B12" s="8" t="s">
        <v>88</v>
      </c>
      <c r="C12" s="4">
        <v>1</v>
      </c>
      <c r="D12" s="14">
        <v>99</v>
      </c>
      <c r="E12" s="7">
        <f t="shared" si="0"/>
        <v>99</v>
      </c>
      <c r="F12" s="15" t="s">
        <v>87</v>
      </c>
    </row>
    <row r="13" spans="1:10" x14ac:dyDescent="0.3">
      <c r="A13" s="6" t="s">
        <v>18</v>
      </c>
      <c r="B13" t="s">
        <v>90</v>
      </c>
      <c r="C13" s="4">
        <v>3</v>
      </c>
      <c r="D13" s="7">
        <v>99</v>
      </c>
      <c r="E13" s="7">
        <f t="shared" si="0"/>
        <v>297</v>
      </c>
      <c r="F13" t="s">
        <v>91</v>
      </c>
    </row>
    <row r="14" spans="1:10" x14ac:dyDescent="0.3">
      <c r="A14" s="6" t="s">
        <v>18</v>
      </c>
      <c r="B14" t="s">
        <v>93</v>
      </c>
      <c r="C14" s="4">
        <v>1</v>
      </c>
      <c r="D14" s="7">
        <v>65</v>
      </c>
      <c r="E14" s="7">
        <f t="shared" si="0"/>
        <v>65</v>
      </c>
      <c r="F14" t="s">
        <v>92</v>
      </c>
    </row>
    <row r="17" spans="5:5" x14ac:dyDescent="0.3">
      <c r="E17" s="14">
        <f>SUM(E2:E16)</f>
        <v>7808.04</v>
      </c>
    </row>
  </sheetData>
  <hyperlinks>
    <hyperlink ref="F7" r:id="rId1" xr:uid="{63C23109-CC0B-4EFF-98BE-AD1623C6E86F}"/>
    <hyperlink ref="F5" r:id="rId2" xr:uid="{F41AD278-DE1E-43D0-8C83-000957E7F94A}"/>
    <hyperlink ref="F12" r:id="rId3" xr:uid="{41B91A21-1D3B-4A55-B14D-D199470C0E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B83F-C619-41D0-B6F8-227180981870}">
  <dimension ref="A1:D30"/>
  <sheetViews>
    <sheetView tabSelected="1" topLeftCell="A15" workbookViewId="0">
      <selection activeCell="B26" sqref="B26"/>
    </sheetView>
  </sheetViews>
  <sheetFormatPr defaultRowHeight="14.4" x14ac:dyDescent="0.3"/>
  <cols>
    <col min="1" max="1" width="13.33203125" customWidth="1"/>
    <col min="2" max="2" width="15.33203125" customWidth="1"/>
    <col min="4" max="4" width="10.33203125" bestFit="1" customWidth="1"/>
  </cols>
  <sheetData>
    <row r="1" spans="1:4" x14ac:dyDescent="0.3">
      <c r="A1" s="3" t="s">
        <v>1</v>
      </c>
      <c r="B1" s="3" t="s">
        <v>35</v>
      </c>
      <c r="C1" s="5" t="s">
        <v>2</v>
      </c>
      <c r="D1" s="5" t="s">
        <v>36</v>
      </c>
    </row>
    <row r="2" spans="1:4" ht="28.8" x14ac:dyDescent="0.3">
      <c r="A2" s="6" t="s">
        <v>37</v>
      </c>
      <c r="B2" s="6" t="s">
        <v>38</v>
      </c>
      <c r="C2" s="4">
        <v>26</v>
      </c>
      <c r="D2" s="7">
        <v>650</v>
      </c>
    </row>
    <row r="3" spans="1:4" ht="28.8" x14ac:dyDescent="0.3">
      <c r="A3" s="6" t="s">
        <v>37</v>
      </c>
      <c r="B3" s="6" t="s">
        <v>39</v>
      </c>
      <c r="C3" s="4">
        <v>10</v>
      </c>
      <c r="D3" s="7">
        <v>275</v>
      </c>
    </row>
    <row r="4" spans="1:4" ht="28.8" x14ac:dyDescent="0.3">
      <c r="A4" s="6" t="s">
        <v>37</v>
      </c>
      <c r="B4" s="6" t="s">
        <v>40</v>
      </c>
      <c r="C4" s="4">
        <v>10</v>
      </c>
      <c r="D4" s="7">
        <v>275</v>
      </c>
    </row>
    <row r="5" spans="1:4" ht="28.8" x14ac:dyDescent="0.3">
      <c r="A5" s="6" t="s">
        <v>37</v>
      </c>
      <c r="B5" s="6" t="s">
        <v>41</v>
      </c>
      <c r="C5" s="4">
        <v>10</v>
      </c>
      <c r="D5" s="7">
        <v>275</v>
      </c>
    </row>
    <row r="6" spans="1:4" ht="28.8" x14ac:dyDescent="0.3">
      <c r="A6" s="6" t="s">
        <v>37</v>
      </c>
      <c r="B6" s="6" t="s">
        <v>42</v>
      </c>
      <c r="C6" s="4">
        <v>10</v>
      </c>
      <c r="D6" s="7">
        <v>300</v>
      </c>
    </row>
    <row r="7" spans="1:4" ht="28.8" x14ac:dyDescent="0.3">
      <c r="A7" s="6" t="s">
        <v>37</v>
      </c>
      <c r="B7" s="6" t="s">
        <v>43</v>
      </c>
      <c r="C7" s="4">
        <v>10</v>
      </c>
      <c r="D7" s="7">
        <v>200</v>
      </c>
    </row>
    <row r="8" spans="1:4" ht="28.8" x14ac:dyDescent="0.3">
      <c r="A8" s="6" t="s">
        <v>37</v>
      </c>
      <c r="B8" s="6" t="s">
        <v>44</v>
      </c>
      <c r="C8" s="4">
        <v>10</v>
      </c>
      <c r="D8" s="7">
        <v>240</v>
      </c>
    </row>
    <row r="9" spans="1:4" ht="28.8" x14ac:dyDescent="0.3">
      <c r="A9" s="6" t="s">
        <v>37</v>
      </c>
      <c r="B9" s="6" t="s">
        <v>45</v>
      </c>
      <c r="C9" s="4">
        <v>10</v>
      </c>
      <c r="D9" s="7">
        <v>200</v>
      </c>
    </row>
    <row r="10" spans="1:4" ht="28.8" x14ac:dyDescent="0.3">
      <c r="A10" s="6" t="s">
        <v>46</v>
      </c>
      <c r="B10" s="6" t="s">
        <v>39</v>
      </c>
      <c r="C10" s="4">
        <v>12</v>
      </c>
      <c r="D10" s="7">
        <v>300</v>
      </c>
    </row>
    <row r="11" spans="1:4" x14ac:dyDescent="0.3">
      <c r="A11" s="6" t="s">
        <v>47</v>
      </c>
      <c r="B11" s="6" t="s">
        <v>48</v>
      </c>
      <c r="C11" s="4">
        <v>10</v>
      </c>
      <c r="D11" s="7">
        <v>180</v>
      </c>
    </row>
    <row r="12" spans="1:4" x14ac:dyDescent="0.3">
      <c r="A12" s="6" t="s">
        <v>47</v>
      </c>
      <c r="B12" s="6" t="s">
        <v>49</v>
      </c>
      <c r="C12" s="4">
        <v>27</v>
      </c>
      <c r="D12" s="7">
        <v>486</v>
      </c>
    </row>
    <row r="13" spans="1:4" ht="28.8" x14ac:dyDescent="0.3">
      <c r="A13" s="6" t="s">
        <v>50</v>
      </c>
      <c r="B13" s="6" t="s">
        <v>51</v>
      </c>
      <c r="C13" s="4">
        <v>1</v>
      </c>
      <c r="D13" s="7">
        <v>110</v>
      </c>
    </row>
    <row r="14" spans="1:4" x14ac:dyDescent="0.3">
      <c r="A14" s="6" t="s">
        <v>52</v>
      </c>
      <c r="B14" s="6" t="s">
        <v>53</v>
      </c>
      <c r="C14" s="4">
        <v>8</v>
      </c>
      <c r="D14" s="7">
        <v>528</v>
      </c>
    </row>
    <row r="15" spans="1:4" ht="28.8" x14ac:dyDescent="0.3">
      <c r="A15" s="6" t="s">
        <v>54</v>
      </c>
      <c r="B15" s="6" t="s">
        <v>55</v>
      </c>
      <c r="C15" s="4">
        <v>16</v>
      </c>
      <c r="D15" s="7">
        <v>240</v>
      </c>
    </row>
    <row r="16" spans="1:4" x14ac:dyDescent="0.3">
      <c r="A16" s="6" t="s">
        <v>56</v>
      </c>
      <c r="B16" s="6" t="s">
        <v>57</v>
      </c>
      <c r="C16" s="4">
        <v>16</v>
      </c>
      <c r="D16" s="7">
        <v>176</v>
      </c>
    </row>
    <row r="17" spans="1:4" ht="28.8" x14ac:dyDescent="0.3">
      <c r="A17" s="6" t="s">
        <v>58</v>
      </c>
      <c r="B17" s="6" t="s">
        <v>49</v>
      </c>
      <c r="C17" s="4">
        <v>15</v>
      </c>
      <c r="D17" s="7">
        <v>52.5</v>
      </c>
    </row>
    <row r="18" spans="1:4" ht="28.8" x14ac:dyDescent="0.3">
      <c r="A18" s="6" t="s">
        <v>59</v>
      </c>
      <c r="B18" s="6" t="s">
        <v>60</v>
      </c>
      <c r="C18" s="4">
        <v>12</v>
      </c>
      <c r="D18" s="7">
        <v>2220</v>
      </c>
    </row>
    <row r="19" spans="1:4" ht="28.8" x14ac:dyDescent="0.3">
      <c r="A19" s="6" t="s">
        <v>61</v>
      </c>
      <c r="B19" s="6" t="s">
        <v>62</v>
      </c>
      <c r="C19" s="4">
        <v>1</v>
      </c>
      <c r="D19" s="7">
        <v>2360</v>
      </c>
    </row>
    <row r="20" spans="1:4" ht="28.8" x14ac:dyDescent="0.3">
      <c r="A20" s="6" t="s">
        <v>63</v>
      </c>
      <c r="B20" s="6" t="s">
        <v>62</v>
      </c>
      <c r="C20" s="4">
        <v>1</v>
      </c>
      <c r="D20" s="7">
        <v>720</v>
      </c>
    </row>
    <row r="22" spans="1:4" x14ac:dyDescent="0.3">
      <c r="A22" s="3" t="s">
        <v>64</v>
      </c>
      <c r="B22" s="5" t="s">
        <v>65</v>
      </c>
    </row>
    <row r="23" spans="1:4" x14ac:dyDescent="0.3">
      <c r="A23" s="6" t="s">
        <v>66</v>
      </c>
      <c r="B23" s="10">
        <v>9787.5</v>
      </c>
    </row>
    <row r="24" spans="1:4" x14ac:dyDescent="0.3">
      <c r="A24" s="6" t="s">
        <v>10</v>
      </c>
      <c r="B24" s="10">
        <v>250</v>
      </c>
    </row>
    <row r="25" spans="1:4" x14ac:dyDescent="0.3">
      <c r="A25" s="6" t="s">
        <v>11</v>
      </c>
      <c r="B25" s="10">
        <v>1806.75</v>
      </c>
    </row>
    <row r="26" spans="1:4" x14ac:dyDescent="0.3">
      <c r="A26" s="6" t="s">
        <v>67</v>
      </c>
      <c r="B26" s="10">
        <v>11844.25</v>
      </c>
    </row>
    <row r="28" spans="1:4" x14ac:dyDescent="0.3">
      <c r="A28" s="3" t="s">
        <v>1</v>
      </c>
      <c r="B28" s="3" t="s">
        <v>4</v>
      </c>
    </row>
    <row r="29" spans="1:4" ht="43.2" x14ac:dyDescent="0.3">
      <c r="A29" s="6" t="s">
        <v>68</v>
      </c>
      <c r="B29" s="6" t="s">
        <v>69</v>
      </c>
    </row>
    <row r="30" spans="1:4" ht="28.8" x14ac:dyDescent="0.3">
      <c r="A30" s="6" t="s">
        <v>70</v>
      </c>
      <c r="B30" s="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F9" sqref="F9"/>
    </sheetView>
  </sheetViews>
  <sheetFormatPr defaultRowHeight="14.4" x14ac:dyDescent="0.3"/>
  <cols>
    <col min="2" max="2" width="11.88671875" customWidth="1"/>
    <col min="4" max="4" width="11.109375" customWidth="1"/>
    <col min="5" max="5" width="11.33203125" customWidth="1"/>
  </cols>
  <sheetData>
    <row r="1" spans="1:5" x14ac:dyDescent="0.3">
      <c r="A1" s="1" t="s">
        <v>3</v>
      </c>
      <c r="B1" s="1" t="s">
        <v>66</v>
      </c>
      <c r="C1" s="1" t="s">
        <v>10</v>
      </c>
      <c r="D1" s="1" t="s">
        <v>11</v>
      </c>
      <c r="E1" s="1" t="s">
        <v>67</v>
      </c>
    </row>
    <row r="2" spans="1:5" x14ac:dyDescent="0.3">
      <c r="A2" t="s">
        <v>72</v>
      </c>
      <c r="B2" s="9">
        <v>9787.5</v>
      </c>
      <c r="C2" s="9">
        <v>250</v>
      </c>
      <c r="D2" s="9">
        <v>1806.75</v>
      </c>
      <c r="E2" s="9">
        <v>11844.25</v>
      </c>
    </row>
    <row r="3" spans="1:5" x14ac:dyDescent="0.3">
      <c r="A3" t="s">
        <v>8</v>
      </c>
      <c r="B3" s="9">
        <v>3698.1</v>
      </c>
      <c r="C3" s="9">
        <v>0</v>
      </c>
      <c r="D3" s="9">
        <v>665.66</v>
      </c>
      <c r="E3" s="9">
        <v>4363.76</v>
      </c>
    </row>
    <row r="4" spans="1:5" x14ac:dyDescent="0.3">
      <c r="A4" t="s">
        <v>22</v>
      </c>
      <c r="B4" s="9">
        <v>3199</v>
      </c>
      <c r="C4" s="9">
        <v>250</v>
      </c>
      <c r="D4" s="9">
        <v>620.82000000000005</v>
      </c>
      <c r="E4" s="9">
        <v>4069.82</v>
      </c>
    </row>
    <row r="5" spans="1:5" x14ac:dyDescent="0.3">
      <c r="A5" t="s">
        <v>18</v>
      </c>
      <c r="B5" s="9">
        <v>654</v>
      </c>
      <c r="C5" s="9">
        <v>60</v>
      </c>
      <c r="D5" t="s">
        <v>73</v>
      </c>
      <c r="E5" s="9">
        <v>714</v>
      </c>
    </row>
    <row r="6" spans="1:5" x14ac:dyDescent="0.3">
      <c r="A6" t="s">
        <v>67</v>
      </c>
      <c r="E6" s="9">
        <v>20991.83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I15" sqref="I15"/>
    </sheetView>
  </sheetViews>
  <sheetFormatPr defaultRowHeight="14.4" x14ac:dyDescent="0.3"/>
  <cols>
    <col min="2" max="2" width="12.6640625" customWidth="1"/>
  </cols>
  <sheetData>
    <row r="1" spans="1:2" x14ac:dyDescent="0.3">
      <c r="A1" s="3" t="s">
        <v>0</v>
      </c>
      <c r="B1" s="5" t="s">
        <v>65</v>
      </c>
    </row>
    <row r="2" spans="1:2" ht="57.6" x14ac:dyDescent="0.3">
      <c r="A2" s="6" t="s">
        <v>74</v>
      </c>
      <c r="B2" s="10">
        <v>20991.83</v>
      </c>
    </row>
    <row r="3" spans="1:2" ht="43.2" x14ac:dyDescent="0.3">
      <c r="A3" s="6" t="s">
        <v>75</v>
      </c>
      <c r="B3" s="10">
        <v>774</v>
      </c>
    </row>
    <row r="4" spans="1:2" ht="43.2" x14ac:dyDescent="0.3">
      <c r="A4" s="11" t="s">
        <v>76</v>
      </c>
      <c r="B4" s="12">
        <v>21765.83</v>
      </c>
    </row>
    <row r="5" spans="1:2" ht="28.8" x14ac:dyDescent="0.3">
      <c r="A5" s="6" t="s">
        <v>77</v>
      </c>
      <c r="B5" s="5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J6" sqref="J6"/>
    </sheetView>
  </sheetViews>
  <sheetFormatPr defaultRowHeight="14.4" x14ac:dyDescent="0.3"/>
  <cols>
    <col min="1" max="1" width="10.5546875" customWidth="1"/>
  </cols>
  <sheetData>
    <row r="1" spans="1:4" x14ac:dyDescent="0.3">
      <c r="A1" s="3" t="s">
        <v>1</v>
      </c>
      <c r="B1" s="5" t="s">
        <v>2</v>
      </c>
      <c r="C1" s="3" t="s">
        <v>5</v>
      </c>
      <c r="D1" s="3" t="s">
        <v>6</v>
      </c>
    </row>
    <row r="2" spans="1:4" x14ac:dyDescent="0.3">
      <c r="A2" s="6" t="s">
        <v>7</v>
      </c>
      <c r="B2" s="4">
        <v>1</v>
      </c>
      <c r="C2" s="2" t="s">
        <v>79</v>
      </c>
      <c r="D2" s="2" t="s">
        <v>79</v>
      </c>
    </row>
    <row r="3" spans="1:4" ht="28.8" x14ac:dyDescent="0.3">
      <c r="A3" s="6" t="s">
        <v>80</v>
      </c>
      <c r="B3" s="4">
        <v>3</v>
      </c>
      <c r="C3" s="2" t="s">
        <v>79</v>
      </c>
      <c r="D3" s="2" t="s">
        <v>79</v>
      </c>
    </row>
    <row r="4" spans="1:4" x14ac:dyDescent="0.3">
      <c r="A4" s="6" t="s">
        <v>81</v>
      </c>
      <c r="B4" s="4">
        <v>1</v>
      </c>
      <c r="C4" s="2" t="s">
        <v>79</v>
      </c>
      <c r="D4" s="2" t="s">
        <v>79</v>
      </c>
    </row>
    <row r="5" spans="1:4" x14ac:dyDescent="0.3">
      <c r="A5" s="6" t="s">
        <v>82</v>
      </c>
      <c r="B5" s="4">
        <v>3</v>
      </c>
      <c r="C5" s="2" t="s">
        <v>79</v>
      </c>
      <c r="D5" s="2" t="s">
        <v>79</v>
      </c>
    </row>
    <row r="6" spans="1:4" ht="28.8" x14ac:dyDescent="0.3">
      <c r="A6" s="6" t="s">
        <v>83</v>
      </c>
      <c r="B6" s="4">
        <v>1</v>
      </c>
      <c r="C6" s="2" t="s">
        <v>79</v>
      </c>
      <c r="D6" s="2" t="s">
        <v>79</v>
      </c>
    </row>
    <row r="7" spans="1:4" ht="28.8" x14ac:dyDescent="0.3">
      <c r="A7" s="6" t="s">
        <v>24</v>
      </c>
      <c r="B7" s="4">
        <v>1</v>
      </c>
      <c r="C7" s="2" t="s">
        <v>79</v>
      </c>
      <c r="D7" s="2" t="s">
        <v>79</v>
      </c>
    </row>
    <row r="8" spans="1:4" ht="28.8" x14ac:dyDescent="0.3">
      <c r="A8" s="6" t="s">
        <v>23</v>
      </c>
      <c r="B8" s="4">
        <v>2</v>
      </c>
      <c r="C8" s="2" t="s">
        <v>79</v>
      </c>
      <c r="D8" s="2" t="s">
        <v>79</v>
      </c>
    </row>
    <row r="9" spans="1:4" x14ac:dyDescent="0.3">
      <c r="A9" s="6" t="s">
        <v>84</v>
      </c>
      <c r="B9" s="4">
        <v>12</v>
      </c>
      <c r="C9" s="2" t="s">
        <v>79</v>
      </c>
      <c r="D9" s="2" t="s">
        <v>79</v>
      </c>
    </row>
    <row r="10" spans="1:4" ht="28.8" x14ac:dyDescent="0.3">
      <c r="A10" s="6" t="s">
        <v>85</v>
      </c>
      <c r="B10" s="4" t="s">
        <v>86</v>
      </c>
      <c r="C10" s="2" t="s">
        <v>79</v>
      </c>
      <c r="D10" s="2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Parts</vt:lpstr>
      <vt:lpstr>Custom Extrusions</vt:lpstr>
      <vt:lpstr>Store Summary</vt:lpstr>
      <vt:lpstr>Build Cost</vt:lpstr>
      <vt:lpstr>Purchase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Swarnkar</cp:lastModifiedBy>
  <dcterms:created xsi:type="dcterms:W3CDTF">2026-06-10T11:21:50Z</dcterms:created>
  <dcterms:modified xsi:type="dcterms:W3CDTF">2026-08-31T08:41:55Z</dcterms:modified>
</cp:coreProperties>
</file>