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itin\Downloads\"/>
    </mc:Choice>
  </mc:AlternateContent>
  <xr:revisionPtr revIDLastSave="0" documentId="8_{FA6FA913-CBFB-44FE-9066-652C3D28C42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rts" sheetId="1" r:id="rId1"/>
    <sheet name="Sheet2" sheetId="7" r:id="rId2"/>
    <sheet name="CNC_Pen-ploter" sheetId="5" r:id="rId3"/>
    <sheet name="Store Summary" sheetId="2" r:id="rId4"/>
    <sheet name="Build Cost" sheetId="3" r:id="rId5"/>
    <sheet name="Purchase Status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7" l="1"/>
  <c r="F4" i="7"/>
  <c r="F5" i="7"/>
  <c r="F62" i="7" s="1"/>
  <c r="F10" i="7"/>
  <c r="F8" i="7"/>
  <c r="F7" i="7"/>
  <c r="F9" i="7"/>
  <c r="F19" i="7"/>
  <c r="F20" i="7"/>
  <c r="F21" i="7"/>
  <c r="F13" i="7"/>
  <c r="F14" i="7"/>
  <c r="F15" i="7"/>
  <c r="F16" i="7"/>
  <c r="F17" i="7"/>
  <c r="F18" i="7"/>
  <c r="F12" i="7"/>
  <c r="F25" i="7"/>
  <c r="F24" i="7"/>
  <c r="F23" i="7"/>
  <c r="F28" i="7"/>
  <c r="F30" i="7"/>
  <c r="F32" i="7"/>
  <c r="F50" i="7"/>
  <c r="F26" i="7"/>
  <c r="F34" i="7"/>
  <c r="F35" i="7"/>
  <c r="F36" i="7"/>
  <c r="F37" i="7"/>
  <c r="F38" i="7"/>
  <c r="F40" i="7"/>
  <c r="F42" i="7"/>
  <c r="F43" i="7"/>
  <c r="F44" i="7"/>
  <c r="F46" i="7"/>
  <c r="F47" i="7"/>
  <c r="F48" i="7"/>
  <c r="F49" i="7"/>
  <c r="F51" i="7"/>
  <c r="F53" i="7"/>
  <c r="F54" i="7"/>
  <c r="F56" i="7"/>
  <c r="F57" i="7"/>
  <c r="F58" i="7"/>
  <c r="F59" i="7"/>
  <c r="F2" i="7"/>
  <c r="E17" i="1"/>
  <c r="E14" i="1"/>
  <c r="E13" i="1"/>
  <c r="E3" i="1"/>
  <c r="E4" i="1"/>
  <c r="E5" i="1"/>
  <c r="E6" i="1"/>
  <c r="E7" i="1"/>
  <c r="E8" i="1"/>
  <c r="E9" i="1"/>
  <c r="E10" i="1"/>
  <c r="E11" i="1"/>
  <c r="E12" i="1"/>
  <c r="E2" i="1"/>
</calcChain>
</file>

<file path=xl/sharedStrings.xml><?xml version="1.0" encoding="utf-8"?>
<sst xmlns="http://schemas.openxmlformats.org/spreadsheetml/2006/main" count="308" uniqueCount="174">
  <si>
    <t>Category</t>
  </si>
  <si>
    <t>Part</t>
  </si>
  <si>
    <t>Qty</t>
  </si>
  <si>
    <t>Store</t>
  </si>
  <si>
    <t>Notes</t>
  </si>
  <si>
    <t>Ordered</t>
  </si>
  <si>
    <t>Received</t>
  </si>
  <si>
    <t>MKS DLC32</t>
  </si>
  <si>
    <t>REES52</t>
  </si>
  <si>
    <t>NEMA17 Stepper Motor</t>
  </si>
  <si>
    <t>Shipping</t>
  </si>
  <si>
    <t>GST</t>
  </si>
  <si>
    <t>Unit Cost</t>
  </si>
  <si>
    <t>Total Cost</t>
  </si>
  <si>
    <t>URL</t>
  </si>
  <si>
    <t>M3x6 Nylon Spacer Pack</t>
  </si>
  <si>
    <t>GT2 Belt 2m</t>
  </si>
  <si>
    <t>MKS DLC32 V2.1</t>
  </si>
  <si>
    <t>MakerBazar</t>
  </si>
  <si>
    <t>20mm Conduit</t>
  </si>
  <si>
    <t>Concrete Nail</t>
  </si>
  <si>
    <t>GT2 Pulley 20T</t>
  </si>
  <si>
    <t>3DPrintronics</t>
  </si>
  <si>
    <t>Limit Switch</t>
  </si>
  <si>
    <t>ACRO Plate Set</t>
  </si>
  <si>
    <t>Meanwell LRS-150-24</t>
  </si>
  <si>
    <t>https://rees52.com/products/m3x6mm-nylon-hex-spacer-m3x6mm-female-to-female-nylon-hex-spacer-pack-of-10-rs3713?_pos=2&amp;_sid=0e8c956e0&amp;_ss=r</t>
  </si>
  <si>
    <t>https://rees52.com/products/gt2-timing-belt-gt2-open-loop-timing-belt-6mm-width-for-3d-printer-2-meter-rs3184?</t>
  </si>
  <si>
    <t>https://rees52.com/products/makerbase-mks-dlc32-v2-1-offline-controller-board-for-standalone-3d-printer-cnc-board?selling_plan=2556362919&amp;variant=47709331161255</t>
  </si>
  <si>
    <t>https://makerbazar.in/products/gi-flexible-electrical-conduit-pipe?variant=49720866930928</t>
  </si>
  <si>
    <t>https://makerbazar.in/products/concrete-iron-nails?variant=44871802716400</t>
  </si>
  <si>
    <t>https://makerbazar.in/products/aluminum-gt2-timing-pulley-20-tooth-5mm-bore-for-6mm-belt?variant=49719331225840</t>
  </si>
  <si>
    <t>https://www.3dprintronics.com/products/limit-switch-for-cnc-3d-printers</t>
  </si>
  <si>
    <t>https://www.3dprintronics.com/products/original-meanwell-psu-lrs-150-24</t>
  </si>
  <si>
    <t>https://www.3dprintronics.com/products/acro-acrylic-plate-set</t>
  </si>
  <si>
    <t>Specification</t>
  </si>
  <si>
    <t>Cost (₹)</t>
  </si>
  <si>
    <t>M5 Ultra Low Profile Screw</t>
  </si>
  <si>
    <t>8mm</t>
  </si>
  <si>
    <t>10mm</t>
  </si>
  <si>
    <t>12mm</t>
  </si>
  <si>
    <t>15mm</t>
  </si>
  <si>
    <t>25mm</t>
  </si>
  <si>
    <t>30mm</t>
  </si>
  <si>
    <t>40mm</t>
  </si>
  <si>
    <t>50mm</t>
  </si>
  <si>
    <t>M3 Ultra Low Profile Screw</t>
  </si>
  <si>
    <t>Drop-In T-Nut</t>
  </si>
  <si>
    <t>M3</t>
  </si>
  <si>
    <t>M5</t>
  </si>
  <si>
    <t>Straight Grained Knob</t>
  </si>
  <si>
    <t>M4 × 15mm</t>
  </si>
  <si>
    <t>Corner Bracket</t>
  </si>
  <si>
    <t>20 Series Black</t>
  </si>
  <si>
    <t>Aluminium Spacer</t>
  </si>
  <si>
    <t>5.1mm ID × 6mm</t>
  </si>
  <si>
    <t>Plain Washer</t>
  </si>
  <si>
    <t>M5 Shim</t>
  </si>
  <si>
    <t>Nylon Lock Nut</t>
  </si>
  <si>
    <t>Delrin Solid V Wheel Kit</t>
  </si>
  <si>
    <t>V-Slot</t>
  </si>
  <si>
    <t>V-Slot Extrusion 2040</t>
  </si>
  <si>
    <t>Custom Cut Set</t>
  </si>
  <si>
    <t>V-Slot Extrusion 2020</t>
  </si>
  <si>
    <t>Summary</t>
  </si>
  <si>
    <t>Cost</t>
  </si>
  <si>
    <t>Subtotal</t>
  </si>
  <si>
    <t>Total</t>
  </si>
  <si>
    <t>2040 V-Slot</t>
  </si>
  <si>
    <t>1×444mm, 2×610mm, off-cuts included</t>
  </si>
  <si>
    <t>2020 V-Slot</t>
  </si>
  <si>
    <t>2×410mm, off-cuts included</t>
  </si>
  <si>
    <t>Custom Extrusions</t>
  </si>
  <si>
    <t>Included</t>
  </si>
  <si>
    <t>Hardware &amp; Electronics</t>
  </si>
  <si>
    <t>3D Printed Parts</t>
  </si>
  <si>
    <t>Total Build Cost</t>
  </si>
  <si>
    <t>Approx. USD</t>
  </si>
  <si>
    <t>$220.67</t>
  </si>
  <si>
    <t>☐</t>
  </si>
  <si>
    <t>NEMA17 Stepper</t>
  </si>
  <si>
    <t>GT2 Belt</t>
  </si>
  <si>
    <t>GT2 Pulley</t>
  </si>
  <si>
    <t>Meanwell PSU</t>
  </si>
  <si>
    <t>V-Wheels</t>
  </si>
  <si>
    <t>V-Slot Extrusions</t>
  </si>
  <si>
    <t>2 sets</t>
  </si>
  <si>
    <t>https://makerbazar.in/products/small-servo-plastic-gear-svg90s?variant=45449411395824</t>
  </si>
  <si>
    <t xml:space="preserve">SG Series TowerPro Small Servo Motor </t>
  </si>
  <si>
    <t>https://rees52.com/products/17hs4401s-nema-17-stepper-motor-for-3d-printer?_pos=4&amp;_sid=48153941e&amp;_ss=r</t>
  </si>
  <si>
    <t>DRV8825 Stepper Motor Driver with Aluminum Heat Sink</t>
  </si>
  <si>
    <t>https://makerbazar.in/products/drv8825-stepper-motor-driver-with-aluminum-heat-sink?variant=45989819384048</t>
  </si>
  <si>
    <t>https://makerbazar.in/products/xl6009-dc-dc-adjustable-boost-buck-step-up-step-down-converter-module?variant=49621760803056</t>
  </si>
  <si>
    <t>XL6009 DC-DC Adjustable Boost-Buck Step-Up Step-Down Converter Module</t>
  </si>
  <si>
    <t>Motion</t>
  </si>
  <si>
    <t>NEMA 17 Stepper Motor</t>
  </si>
  <si>
    <t>Delrin Solid V-Wheel</t>
  </si>
  <si>
    <t>GT2 Timing Pulley</t>
  </si>
  <si>
    <t>20T, M5</t>
  </si>
  <si>
    <t>GT2 Timing Belt</t>
  </si>
  <si>
    <t>Aluminium Frame</t>
  </si>
  <si>
    <t>444 mm</t>
  </si>
  <si>
    <t>610 mm</t>
  </si>
  <si>
    <t>20 Series</t>
  </si>
  <si>
    <t>M5 Hardware</t>
  </si>
  <si>
    <t>Ultra Low Profile Screw</t>
  </si>
  <si>
    <t>M5 × 25 mm</t>
  </si>
  <si>
    <t>M5 × 10 mm</t>
  </si>
  <si>
    <t>M5 × 8 mm</t>
  </si>
  <si>
    <t>Washer / Shim</t>
  </si>
  <si>
    <t>M3 Hardware</t>
  </si>
  <si>
    <t>Screw</t>
  </si>
  <si>
    <t>M3 × 16 mm</t>
  </si>
  <si>
    <t>M2 Hardware</t>
  </si>
  <si>
    <t>M2.5 Hardware</t>
  </si>
  <si>
    <t>M2.5 × 4 mm</t>
  </si>
  <si>
    <t>Spacers</t>
  </si>
  <si>
    <t>5.1 mm ID × 6 mm</t>
  </si>
  <si>
    <t>Printed Parts</t>
  </si>
  <si>
    <t>Clip Fixture</t>
  </si>
  <si>
    <t>Pen Carriage Moving</t>
  </si>
  <si>
    <t>Pen Lift</t>
  </si>
  <si>
    <t>70 mm</t>
  </si>
  <si>
    <t>Screw Knob</t>
  </si>
  <si>
    <t>Pen Spring</t>
  </si>
  <si>
    <t>Electronics</t>
  </si>
  <si>
    <t>DRV8825 Motor Driver</t>
  </si>
  <si>
    <t>Meanwell Power Supply</t>
  </si>
  <si>
    <t>DC-DC Converter</t>
  </si>
  <si>
    <t>Limit Switch Mount</t>
  </si>
  <si>
    <t>link</t>
  </si>
  <si>
    <t>Corner Bracket 20</t>
  </si>
  <si>
    <t>Pen Carriage Monunt</t>
  </si>
  <si>
    <t>Buck convertor Mount</t>
  </si>
  <si>
    <t>Laser cut</t>
  </si>
  <si>
    <t>Connectors</t>
  </si>
  <si>
    <t>JST-XH Connector Kit</t>
  </si>
  <si>
    <t>Wire Stripper / Crimper</t>
  </si>
  <si>
    <t>22 AWG wire.</t>
  </si>
  <si>
    <t>PCB Stand-Off</t>
  </si>
  <si>
    <t>42 x 42 mm</t>
  </si>
  <si>
    <t>unit cost</t>
  </si>
  <si>
    <t>.</t>
  </si>
  <si>
    <t>2m</t>
  </si>
  <si>
    <t>M5x 50mm</t>
  </si>
  <si>
    <t>M5 x40mm</t>
  </si>
  <si>
    <t>M5x 30mm</t>
  </si>
  <si>
    <t>M5 x 15 mm</t>
  </si>
  <si>
    <t>M3 x 10 mm</t>
  </si>
  <si>
    <t>M2 x 8 mm</t>
  </si>
  <si>
    <t>7.5mm</t>
  </si>
  <si>
    <t>27 in 1</t>
  </si>
  <si>
    <t>2.54 mm, 230 pcs</t>
  </si>
  <si>
    <t>RED</t>
  </si>
  <si>
    <t>BLACK</t>
  </si>
  <si>
    <t>BLUE</t>
  </si>
  <si>
    <t>YELLOW</t>
  </si>
  <si>
    <t>GREEN</t>
  </si>
  <si>
    <t>in meters</t>
  </si>
  <si>
    <t>https://makerbazar.in/products/automation-direct-limit-switch?variant=46931163742448</t>
  </si>
  <si>
    <t xml:space="preserve">Servo Motor </t>
  </si>
  <si>
    <t>https://www.3dprintronics.com/fasteners</t>
  </si>
  <si>
    <t>https://www.3dprintronics.com/tnuts</t>
  </si>
  <si>
    <t>https://www.3dprintronics.com/extrusions?productId=721461094</t>
  </si>
  <si>
    <t>https://www.3dprintronics.com/extrusions?productId=720294005</t>
  </si>
  <si>
    <t>https://www.3dprintronics.com/brackets</t>
  </si>
  <si>
    <t>https://www.3dprintronics.com/products/gt-2-pulley-20t-5mm-bore</t>
  </si>
  <si>
    <t>https://makerbazar.in/products/1m-gt2-width-6mm-black-open-timing-belt-for-3d-printer</t>
  </si>
  <si>
    <t>https://www.3dprintronics.com/products/?productId=65234093</t>
  </si>
  <si>
    <t>other</t>
  </si>
  <si>
    <t>https://rees52.com/products/22-awg-hookup-wire-kit-600v-pre-tinned-solid-core-copper-wire-6-assorted-colors-10-meters-each-for-electronics-and-diy-projects-solid-rs3858?variant=45173813280935&amp;country=IN&amp;currency=INR</t>
  </si>
  <si>
    <t>https://makerbazar.in/products/230pcs-jst-xh-2-54mm-terminal-connectors-kit?variant=44076187353328</t>
  </si>
  <si>
    <t>https://makerbazar.in/products/multifunctional-wire-stripper-tool?variant=48854082224368</t>
  </si>
  <si>
    <t>https://rees52.com/products/m3x10mm-nylon-hex-spacers-10mm-female-female-nylon-hex-spacers-versatile-m3-nylon-hex-spacers-for-electronics-projects-pack-of-10-rs4028?_pos=4&amp;_sid=70c24bf3d&amp;_ss=r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</si>
</sst>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\ #,##0.00;[Red]&quot;₹&quot;\ \-#,##0.00"/>
    <numFmt numFmtId="164" formatCode="_ [$₹-4009]\ * #,##0.00_ ;_ [$₹-4009]\ * \-#,##0.00_ ;_ [$₹-4009]\ * &quot;-&quot;??_ ;_ @_ 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222222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horizontal="right" vertical="center" wrapText="1"/>
    </xf>
    <xf numFmtId="0" fontId="0" fillId="0" borderId="0" xfId="0" applyAlignment="1">
      <alignment vertical="center"/>
    </xf>
    <xf numFmtId="8" fontId="0" fillId="0" borderId="0" xfId="0" applyNumberFormat="1"/>
    <xf numFmtId="8" fontId="0" fillId="0" borderId="0" xfId="0" applyNumberForma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8" fontId="2" fillId="0" borderId="0" xfId="0" applyNumberFormat="1" applyFont="1" applyAlignment="1">
      <alignment horizontal="right" vertical="center" wrapText="1"/>
    </xf>
    <xf numFmtId="0" fontId="3" fillId="0" borderId="0" xfId="1" applyAlignment="1">
      <alignment vertical="center"/>
    </xf>
    <xf numFmtId="164" fontId="0" fillId="0" borderId="0" xfId="0" applyNumberFormat="1"/>
    <xf numFmtId="0" fontId="3" fillId="0" borderId="0" xfId="1"/>
    <xf numFmtId="0" fontId="2" fillId="0" borderId="0" xfId="0" applyFon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3dprintronics.com/products/limit-switch-for-cnc-3d-printers" TargetMode="External"/><Relationship Id="rId3" Type="http://schemas.openxmlformats.org/officeDocument/2006/relationships/hyperlink" Target="https://makerbazar.in/products/small-servo-plastic-gear-svg90s?variant=45449411395824" TargetMode="External"/><Relationship Id="rId7" Type="http://schemas.openxmlformats.org/officeDocument/2006/relationships/hyperlink" Target="https://www.3dprintronics.com/products/original-meanwell-psu-lrs-150-24" TargetMode="External"/><Relationship Id="rId2" Type="http://schemas.openxmlformats.org/officeDocument/2006/relationships/hyperlink" Target="https://rees52.com/products/makerbase-mks-dlc32-v2-1-offline-controller-board-for-standalone-3d-printer-cnc-board?selling_plan=2556362919&amp;variant=47709331161255" TargetMode="External"/><Relationship Id="rId1" Type="http://schemas.openxmlformats.org/officeDocument/2006/relationships/hyperlink" Target="https://makerbazar.in/products/concrete-iron-nails?variant=44871802716400" TargetMode="External"/><Relationship Id="rId6" Type="http://schemas.openxmlformats.org/officeDocument/2006/relationships/hyperlink" Target="https://makerbazar.in/products/drv8825-stepper-motor-driver-with-aluminum-heat-sink?variant=45989819384048" TargetMode="External"/><Relationship Id="rId5" Type="http://schemas.openxmlformats.org/officeDocument/2006/relationships/hyperlink" Target="https://makerbazar.in/products/xl6009-dc-dc-adjustable-boost-buck-step-up-step-down-converter-module?variant=49621760803056" TargetMode="External"/><Relationship Id="rId10" Type="http://schemas.openxmlformats.org/officeDocument/2006/relationships/hyperlink" Target="https://makerbazar.in/products/gi-flexible-electrical-conduit-pipe?variant=49720866930928" TargetMode="External"/><Relationship Id="rId4" Type="http://schemas.openxmlformats.org/officeDocument/2006/relationships/hyperlink" Target="https://www.3dprintronics.com/products/acro-acrylic-plate-set" TargetMode="External"/><Relationship Id="rId9" Type="http://schemas.openxmlformats.org/officeDocument/2006/relationships/hyperlink" Target="https://rees52.com/products/17hs4401s-nema-17-stepper-motor-for-3d-printer?_pos=4&amp;_sid=48153941e&amp;_ss=r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rees52.com/products/m3x10mm-nylon-hex-spacers-10mm-female-female-nylon-hex-spacers-versatile-m3-nylon-hex-spacers-for-electronics-projects-pack-of-10-rs4028?_pos=4&amp;_sid=70c24bf3d&amp;_ss=r" TargetMode="External"/><Relationship Id="rId2" Type="http://schemas.openxmlformats.org/officeDocument/2006/relationships/hyperlink" Target="https://rees52.com/products/makerbase-mks-dlc32-v2-1-offline-controller-board-for-standalone-3d-printer-cnc-board?selling_plan=2556362919&amp;variant=47709331161255" TargetMode="External"/><Relationship Id="rId1" Type="http://schemas.openxmlformats.org/officeDocument/2006/relationships/hyperlink" Target="https://www.3dprintronics.com/tnuts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workbookViewId="0">
      <selection activeCell="F6" sqref="F6"/>
    </sheetView>
  </sheetViews>
  <sheetFormatPr defaultRowHeight="14.4" x14ac:dyDescent="0.3"/>
  <cols>
    <col min="1" max="1" width="12.5546875" customWidth="1"/>
    <col min="2" max="2" width="28.44140625" customWidth="1"/>
    <col min="4" max="5" width="10.33203125" bestFit="1" customWidth="1"/>
  </cols>
  <sheetData>
    <row r="1" spans="1:10" ht="19.2" customHeight="1" x14ac:dyDescent="0.3">
      <c r="A1" s="3" t="s">
        <v>3</v>
      </c>
      <c r="B1" s="3" t="s">
        <v>1</v>
      </c>
      <c r="C1" s="5" t="s">
        <v>2</v>
      </c>
      <c r="D1" s="5" t="s">
        <v>12</v>
      </c>
      <c r="E1" s="5" t="s">
        <v>13</v>
      </c>
      <c r="F1" s="3" t="s">
        <v>14</v>
      </c>
      <c r="G1" s="1"/>
      <c r="H1" s="1"/>
      <c r="I1" s="1"/>
      <c r="J1" s="1"/>
    </row>
    <row r="2" spans="1:10" x14ac:dyDescent="0.3">
      <c r="A2" s="6" t="s">
        <v>8</v>
      </c>
      <c r="B2" s="8" t="s">
        <v>15</v>
      </c>
      <c r="C2" s="4">
        <v>1</v>
      </c>
      <c r="D2" s="7">
        <v>28</v>
      </c>
      <c r="E2" s="7">
        <f>D2*C2</f>
        <v>28</v>
      </c>
      <c r="F2" s="8" t="s">
        <v>26</v>
      </c>
    </row>
    <row r="3" spans="1:10" x14ac:dyDescent="0.3">
      <c r="A3" s="6" t="s">
        <v>8</v>
      </c>
      <c r="B3" s="8" t="s">
        <v>16</v>
      </c>
      <c r="C3" s="4">
        <v>1</v>
      </c>
      <c r="D3" s="7">
        <v>97.02</v>
      </c>
      <c r="E3" s="7">
        <f t="shared" ref="E3:E14" si="0">D3*C3</f>
        <v>97.02</v>
      </c>
      <c r="F3" s="8" t="s">
        <v>27</v>
      </c>
    </row>
    <row r="4" spans="1:10" x14ac:dyDescent="0.3">
      <c r="A4" s="6" t="s">
        <v>8</v>
      </c>
      <c r="B4" s="8" t="s">
        <v>9</v>
      </c>
      <c r="C4" s="4">
        <v>3</v>
      </c>
      <c r="D4" s="7">
        <v>450</v>
      </c>
      <c r="E4" s="7">
        <f t="shared" si="0"/>
        <v>1350</v>
      </c>
      <c r="F4" s="13" t="s">
        <v>89</v>
      </c>
    </row>
    <row r="5" spans="1:10" x14ac:dyDescent="0.3">
      <c r="A5" s="6" t="s">
        <v>8</v>
      </c>
      <c r="B5" s="8" t="s">
        <v>17</v>
      </c>
      <c r="C5" s="4">
        <v>1</v>
      </c>
      <c r="D5" s="7">
        <v>1959.02</v>
      </c>
      <c r="E5" s="7">
        <f t="shared" si="0"/>
        <v>1959.02</v>
      </c>
      <c r="F5" s="13" t="s">
        <v>28</v>
      </c>
    </row>
    <row r="6" spans="1:10" x14ac:dyDescent="0.3">
      <c r="A6" s="6" t="s">
        <v>18</v>
      </c>
      <c r="B6" s="8" t="s">
        <v>19</v>
      </c>
      <c r="C6" s="4">
        <v>1</v>
      </c>
      <c r="D6" s="7">
        <v>499</v>
      </c>
      <c r="E6" s="7">
        <f t="shared" si="0"/>
        <v>499</v>
      </c>
      <c r="F6" s="13" t="s">
        <v>29</v>
      </c>
    </row>
    <row r="7" spans="1:10" x14ac:dyDescent="0.3">
      <c r="A7" s="6" t="s">
        <v>18</v>
      </c>
      <c r="B7" s="8" t="s">
        <v>20</v>
      </c>
      <c r="C7" s="4">
        <v>2</v>
      </c>
      <c r="D7" s="7">
        <v>19</v>
      </c>
      <c r="E7" s="7">
        <f t="shared" si="0"/>
        <v>38</v>
      </c>
      <c r="F7" s="13" t="s">
        <v>30</v>
      </c>
    </row>
    <row r="8" spans="1:10" x14ac:dyDescent="0.3">
      <c r="A8" s="6" t="s">
        <v>18</v>
      </c>
      <c r="B8" s="8" t="s">
        <v>21</v>
      </c>
      <c r="C8" s="4">
        <v>3</v>
      </c>
      <c r="D8" s="7">
        <v>59</v>
      </c>
      <c r="E8" s="7">
        <f t="shared" si="0"/>
        <v>177</v>
      </c>
      <c r="F8" s="8" t="s">
        <v>31</v>
      </c>
    </row>
    <row r="9" spans="1:10" x14ac:dyDescent="0.3">
      <c r="A9" s="6" t="s">
        <v>22</v>
      </c>
      <c r="B9" s="8" t="s">
        <v>23</v>
      </c>
      <c r="C9" s="4">
        <v>2</v>
      </c>
      <c r="D9" s="7">
        <v>115</v>
      </c>
      <c r="E9" s="7">
        <f t="shared" si="0"/>
        <v>230</v>
      </c>
      <c r="F9" s="13" t="s">
        <v>32</v>
      </c>
    </row>
    <row r="10" spans="1:10" x14ac:dyDescent="0.3">
      <c r="A10" s="6" t="s">
        <v>22</v>
      </c>
      <c r="B10" s="8" t="s">
        <v>24</v>
      </c>
      <c r="C10" s="4">
        <v>1</v>
      </c>
      <c r="D10" s="7">
        <v>1480</v>
      </c>
      <c r="E10" s="7">
        <f t="shared" si="0"/>
        <v>1480</v>
      </c>
      <c r="F10" s="13" t="s">
        <v>33</v>
      </c>
    </row>
    <row r="11" spans="1:10" x14ac:dyDescent="0.3">
      <c r="A11" s="6" t="s">
        <v>22</v>
      </c>
      <c r="B11" s="8" t="s">
        <v>25</v>
      </c>
      <c r="C11" s="4">
        <v>1</v>
      </c>
      <c r="D11" s="7">
        <v>1489</v>
      </c>
      <c r="E11" s="7">
        <f t="shared" si="0"/>
        <v>1489</v>
      </c>
      <c r="F11" s="13" t="s">
        <v>34</v>
      </c>
    </row>
    <row r="12" spans="1:10" x14ac:dyDescent="0.3">
      <c r="A12" s="6" t="s">
        <v>18</v>
      </c>
      <c r="B12" s="8" t="s">
        <v>88</v>
      </c>
      <c r="C12" s="4">
        <v>1</v>
      </c>
      <c r="D12" s="14">
        <v>99</v>
      </c>
      <c r="E12" s="7">
        <f t="shared" si="0"/>
        <v>99</v>
      </c>
      <c r="F12" s="15" t="s">
        <v>87</v>
      </c>
    </row>
    <row r="13" spans="1:10" x14ac:dyDescent="0.3">
      <c r="A13" s="6" t="s">
        <v>18</v>
      </c>
      <c r="B13" t="s">
        <v>90</v>
      </c>
      <c r="C13" s="4">
        <v>3</v>
      </c>
      <c r="D13" s="7">
        <v>99</v>
      </c>
      <c r="E13" s="7">
        <f t="shared" si="0"/>
        <v>297</v>
      </c>
      <c r="F13" s="15" t="s">
        <v>91</v>
      </c>
    </row>
    <row r="14" spans="1:10" x14ac:dyDescent="0.3">
      <c r="A14" s="6" t="s">
        <v>18</v>
      </c>
      <c r="B14" t="s">
        <v>93</v>
      </c>
      <c r="C14" s="4">
        <v>1</v>
      </c>
      <c r="D14" s="7">
        <v>65</v>
      </c>
      <c r="E14" s="7">
        <f t="shared" si="0"/>
        <v>65</v>
      </c>
      <c r="F14" s="15" t="s">
        <v>92</v>
      </c>
    </row>
    <row r="17" spans="5:5" x14ac:dyDescent="0.3">
      <c r="E17" s="14">
        <f>SUM(E2:E16)</f>
        <v>7808.04</v>
      </c>
    </row>
  </sheetData>
  <hyperlinks>
    <hyperlink ref="F7" r:id="rId1" xr:uid="{63C23109-CC0B-4EFF-98BE-AD1623C6E86F}"/>
    <hyperlink ref="F5" r:id="rId2" xr:uid="{F41AD278-DE1E-43D0-8C83-000957E7F94A}"/>
    <hyperlink ref="F12" r:id="rId3" xr:uid="{41B91A21-1D3B-4A55-B14D-D199470C0E2D}"/>
    <hyperlink ref="F11" r:id="rId4" xr:uid="{A3DF2675-1838-4FBA-85C1-8B5C5B04F11F}"/>
    <hyperlink ref="F14" r:id="rId5" xr:uid="{BD4123C1-8CBF-4656-96DD-B586499612A9}"/>
    <hyperlink ref="F13" r:id="rId6" xr:uid="{906F323E-6E11-4FE1-B15E-91C867D43DDC}"/>
    <hyperlink ref="F10" r:id="rId7" xr:uid="{7F1952E7-932F-420E-AF7F-569CA1F0AC14}"/>
    <hyperlink ref="F9" r:id="rId8" xr:uid="{5EFB1284-8CFA-43D0-AB81-EACEBCF0067A}"/>
    <hyperlink ref="F4" r:id="rId9" xr:uid="{17F58DA1-2067-4D4B-9D8D-48CFFB368D63}"/>
    <hyperlink ref="F6" r:id="rId10" xr:uid="{488BA313-F296-414B-9680-9A1E57569478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F82D1-77E0-45A3-AF02-A71CF2B3AB9D}">
  <dimension ref="A1:H63"/>
  <sheetViews>
    <sheetView tabSelected="1" workbookViewId="0">
      <selection activeCell="P25" sqref="P25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35</v>
      </c>
      <c r="D1" t="s">
        <v>2</v>
      </c>
      <c r="E1" t="s">
        <v>141</v>
      </c>
      <c r="F1" t="s">
        <v>65</v>
      </c>
      <c r="G1" t="s">
        <v>130</v>
      </c>
    </row>
    <row r="2" spans="1:7" x14ac:dyDescent="0.3">
      <c r="A2" t="s">
        <v>94</v>
      </c>
      <c r="B2" t="s">
        <v>95</v>
      </c>
      <c r="C2" t="s">
        <v>140</v>
      </c>
      <c r="D2">
        <v>3</v>
      </c>
      <c r="E2">
        <v>450</v>
      </c>
      <c r="F2">
        <f>D2*E2</f>
        <v>1350</v>
      </c>
      <c r="G2" t="s">
        <v>89</v>
      </c>
    </row>
    <row r="3" spans="1:7" x14ac:dyDescent="0.3">
      <c r="B3" t="s">
        <v>96</v>
      </c>
      <c r="C3" t="s">
        <v>142</v>
      </c>
      <c r="D3">
        <v>12</v>
      </c>
      <c r="E3">
        <v>2619.6</v>
      </c>
      <c r="F3">
        <f>E3</f>
        <v>2619.6</v>
      </c>
      <c r="G3" t="s">
        <v>168</v>
      </c>
    </row>
    <row r="4" spans="1:7" x14ac:dyDescent="0.3">
      <c r="B4" t="s">
        <v>97</v>
      </c>
      <c r="C4" t="s">
        <v>98</v>
      </c>
      <c r="D4">
        <v>1</v>
      </c>
      <c r="E4">
        <v>390</v>
      </c>
      <c r="F4">
        <f>E4</f>
        <v>390</v>
      </c>
      <c r="G4" t="s">
        <v>166</v>
      </c>
    </row>
    <row r="5" spans="1:7" x14ac:dyDescent="0.3">
      <c r="B5" t="s">
        <v>99</v>
      </c>
      <c r="C5" t="s">
        <v>143</v>
      </c>
      <c r="D5">
        <v>2</v>
      </c>
      <c r="E5">
        <v>85</v>
      </c>
      <c r="F5">
        <f t="shared" ref="F3:F59" si="0">D5*E5</f>
        <v>170</v>
      </c>
      <c r="G5" t="s">
        <v>167</v>
      </c>
    </row>
    <row r="6" spans="1:7" x14ac:dyDescent="0.3">
      <c r="A6" t="s">
        <v>100</v>
      </c>
    </row>
    <row r="7" spans="1:7" x14ac:dyDescent="0.3">
      <c r="B7" t="s">
        <v>61</v>
      </c>
      <c r="C7" t="s">
        <v>101</v>
      </c>
      <c r="D7">
        <v>1</v>
      </c>
      <c r="E7">
        <v>731.6</v>
      </c>
      <c r="F7">
        <f>E7</f>
        <v>731.6</v>
      </c>
      <c r="G7" t="s">
        <v>163</v>
      </c>
    </row>
    <row r="8" spans="1:7" x14ac:dyDescent="0.3">
      <c r="B8" t="s">
        <v>61</v>
      </c>
      <c r="C8" t="s">
        <v>102</v>
      </c>
      <c r="D8">
        <v>2</v>
      </c>
      <c r="E8">
        <v>2053.1999999999998</v>
      </c>
      <c r="F8">
        <f>E8</f>
        <v>2053.1999999999998</v>
      </c>
      <c r="G8" t="s">
        <v>163</v>
      </c>
    </row>
    <row r="9" spans="1:7" x14ac:dyDescent="0.3">
      <c r="B9" t="s">
        <v>63</v>
      </c>
      <c r="C9" t="s">
        <v>101</v>
      </c>
      <c r="D9">
        <v>2</v>
      </c>
      <c r="E9" s="17">
        <v>849.6</v>
      </c>
      <c r="F9">
        <f>E9</f>
        <v>849.6</v>
      </c>
      <c r="G9" t="s">
        <v>164</v>
      </c>
    </row>
    <row r="10" spans="1:7" x14ac:dyDescent="0.3">
      <c r="B10" t="s">
        <v>131</v>
      </c>
      <c r="C10" t="s">
        <v>103</v>
      </c>
      <c r="D10">
        <v>8</v>
      </c>
      <c r="E10">
        <v>700.9</v>
      </c>
      <c r="F10">
        <f>E10</f>
        <v>700.9</v>
      </c>
      <c r="G10" t="s">
        <v>165</v>
      </c>
    </row>
    <row r="11" spans="1:7" x14ac:dyDescent="0.3">
      <c r="A11" t="s">
        <v>104</v>
      </c>
      <c r="G11" t="s">
        <v>161</v>
      </c>
    </row>
    <row r="12" spans="1:7" x14ac:dyDescent="0.3">
      <c r="B12" t="s">
        <v>105</v>
      </c>
      <c r="C12" t="s">
        <v>144</v>
      </c>
      <c r="D12">
        <v>1</v>
      </c>
      <c r="E12">
        <v>240</v>
      </c>
      <c r="F12">
        <f>E12</f>
        <v>240</v>
      </c>
    </row>
    <row r="13" spans="1:7" x14ac:dyDescent="0.3">
      <c r="B13" t="s">
        <v>105</v>
      </c>
      <c r="C13" t="s">
        <v>145</v>
      </c>
      <c r="D13">
        <v>3</v>
      </c>
      <c r="E13">
        <v>240</v>
      </c>
      <c r="F13">
        <f t="shared" ref="F13:F21" si="1">E13</f>
        <v>240</v>
      </c>
    </row>
    <row r="14" spans="1:7" x14ac:dyDescent="0.3">
      <c r="B14" t="s">
        <v>105</v>
      </c>
      <c r="C14" t="s">
        <v>146</v>
      </c>
      <c r="D14">
        <v>8</v>
      </c>
      <c r="E14">
        <v>200</v>
      </c>
      <c r="F14">
        <f t="shared" si="1"/>
        <v>200</v>
      </c>
    </row>
    <row r="15" spans="1:7" x14ac:dyDescent="0.3">
      <c r="B15" t="s">
        <v>105</v>
      </c>
      <c r="C15" t="s">
        <v>106</v>
      </c>
      <c r="D15">
        <v>12</v>
      </c>
      <c r="E15">
        <v>216</v>
      </c>
      <c r="F15">
        <f t="shared" si="1"/>
        <v>216</v>
      </c>
    </row>
    <row r="16" spans="1:7" x14ac:dyDescent="0.3">
      <c r="B16" t="s">
        <v>105</v>
      </c>
      <c r="C16" t="s">
        <v>147</v>
      </c>
      <c r="D16">
        <v>6</v>
      </c>
      <c r="E16">
        <v>275</v>
      </c>
      <c r="F16">
        <f t="shared" si="1"/>
        <v>275</v>
      </c>
    </row>
    <row r="17" spans="1:7" x14ac:dyDescent="0.3">
      <c r="B17" t="s">
        <v>105</v>
      </c>
      <c r="C17" t="s">
        <v>107</v>
      </c>
      <c r="D17">
        <v>3</v>
      </c>
      <c r="E17">
        <v>275</v>
      </c>
      <c r="F17">
        <f t="shared" si="1"/>
        <v>275</v>
      </c>
    </row>
    <row r="18" spans="1:7" x14ac:dyDescent="0.3">
      <c r="B18" t="s">
        <v>105</v>
      </c>
      <c r="C18" t="s">
        <v>108</v>
      </c>
      <c r="D18">
        <v>30</v>
      </c>
      <c r="E18">
        <v>750</v>
      </c>
      <c r="F18">
        <f t="shared" si="1"/>
        <v>750</v>
      </c>
    </row>
    <row r="19" spans="1:7" x14ac:dyDescent="0.3">
      <c r="B19" t="s">
        <v>58</v>
      </c>
      <c r="C19" t="s">
        <v>49</v>
      </c>
      <c r="D19">
        <v>16</v>
      </c>
      <c r="E19">
        <v>66.08</v>
      </c>
      <c r="F19">
        <f t="shared" si="1"/>
        <v>66.08</v>
      </c>
    </row>
    <row r="20" spans="1:7" x14ac:dyDescent="0.3">
      <c r="B20" t="s">
        <v>109</v>
      </c>
      <c r="C20" t="s">
        <v>49</v>
      </c>
      <c r="D20">
        <v>28</v>
      </c>
      <c r="E20">
        <v>429.52</v>
      </c>
      <c r="F20">
        <f t="shared" si="1"/>
        <v>429.52</v>
      </c>
    </row>
    <row r="21" spans="1:7" x14ac:dyDescent="0.3">
      <c r="B21" t="s">
        <v>47</v>
      </c>
      <c r="C21" t="s">
        <v>49</v>
      </c>
      <c r="D21">
        <v>34</v>
      </c>
      <c r="E21">
        <v>612</v>
      </c>
      <c r="F21">
        <f t="shared" si="1"/>
        <v>612</v>
      </c>
      <c r="G21" s="15" t="s">
        <v>162</v>
      </c>
    </row>
    <row r="22" spans="1:7" x14ac:dyDescent="0.3">
      <c r="A22" t="s">
        <v>110</v>
      </c>
      <c r="G22" t="s">
        <v>161</v>
      </c>
    </row>
    <row r="23" spans="1:7" x14ac:dyDescent="0.3">
      <c r="B23" t="s">
        <v>111</v>
      </c>
      <c r="C23" t="s">
        <v>112</v>
      </c>
      <c r="D23">
        <v>2</v>
      </c>
      <c r="E23">
        <v>140</v>
      </c>
      <c r="F23">
        <f>E23</f>
        <v>140</v>
      </c>
    </row>
    <row r="24" spans="1:7" x14ac:dyDescent="0.3">
      <c r="B24" t="s">
        <v>111</v>
      </c>
      <c r="C24" t="s">
        <v>148</v>
      </c>
      <c r="D24">
        <v>12</v>
      </c>
      <c r="E24">
        <v>120</v>
      </c>
      <c r="F24">
        <f>E24</f>
        <v>120</v>
      </c>
    </row>
    <row r="25" spans="1:7" x14ac:dyDescent="0.3">
      <c r="B25" t="s">
        <v>139</v>
      </c>
      <c r="C25" t="s">
        <v>48</v>
      </c>
      <c r="D25">
        <v>2</v>
      </c>
      <c r="E25">
        <v>143</v>
      </c>
      <c r="F25">
        <f>E25</f>
        <v>143</v>
      </c>
      <c r="G25" s="15" t="s">
        <v>173</v>
      </c>
    </row>
    <row r="26" spans="1:7" x14ac:dyDescent="0.3">
      <c r="B26" t="s">
        <v>47</v>
      </c>
      <c r="C26" t="s">
        <v>48</v>
      </c>
      <c r="D26">
        <v>2</v>
      </c>
      <c r="E26">
        <v>180</v>
      </c>
      <c r="F26">
        <f t="shared" si="0"/>
        <v>360</v>
      </c>
      <c r="G26" t="s">
        <v>162</v>
      </c>
    </row>
    <row r="27" spans="1:7" x14ac:dyDescent="0.3">
      <c r="A27" t="s">
        <v>114</v>
      </c>
      <c r="G27" t="s">
        <v>161</v>
      </c>
    </row>
    <row r="28" spans="1:7" x14ac:dyDescent="0.3">
      <c r="B28" t="s">
        <v>111</v>
      </c>
      <c r="C28" t="s">
        <v>115</v>
      </c>
      <c r="D28">
        <v>2</v>
      </c>
      <c r="E28">
        <v>141.6</v>
      </c>
      <c r="F28">
        <f>E28</f>
        <v>141.6</v>
      </c>
    </row>
    <row r="29" spans="1:7" x14ac:dyDescent="0.3">
      <c r="A29" t="s">
        <v>113</v>
      </c>
      <c r="G29" t="s">
        <v>161</v>
      </c>
    </row>
    <row r="30" spans="1:7" x14ac:dyDescent="0.3">
      <c r="B30" t="s">
        <v>111</v>
      </c>
      <c r="C30" t="s">
        <v>149</v>
      </c>
      <c r="D30">
        <v>6</v>
      </c>
      <c r="E30">
        <v>129</v>
      </c>
      <c r="F30">
        <f>E30</f>
        <v>129</v>
      </c>
    </row>
    <row r="31" spans="1:7" x14ac:dyDescent="0.3">
      <c r="A31" t="s">
        <v>116</v>
      </c>
    </row>
    <row r="32" spans="1:7" x14ac:dyDescent="0.3">
      <c r="B32" t="s">
        <v>54</v>
      </c>
      <c r="C32" t="s">
        <v>117</v>
      </c>
      <c r="D32">
        <v>16</v>
      </c>
      <c r="E32">
        <v>283.2</v>
      </c>
      <c r="F32">
        <f>E32</f>
        <v>283.2</v>
      </c>
      <c r="G32" t="s">
        <v>161</v>
      </c>
    </row>
    <row r="33" spans="1:7" x14ac:dyDescent="0.3">
      <c r="A33" t="s">
        <v>118</v>
      </c>
    </row>
    <row r="34" spans="1:7" x14ac:dyDescent="0.3">
      <c r="B34" t="s">
        <v>119</v>
      </c>
      <c r="D34">
        <v>6</v>
      </c>
      <c r="F34">
        <f t="shared" si="0"/>
        <v>0</v>
      </c>
    </row>
    <row r="35" spans="1:7" x14ac:dyDescent="0.3">
      <c r="B35" t="s">
        <v>129</v>
      </c>
      <c r="D35">
        <v>2</v>
      </c>
      <c r="F35">
        <f t="shared" si="0"/>
        <v>0</v>
      </c>
    </row>
    <row r="36" spans="1:7" x14ac:dyDescent="0.3">
      <c r="B36" t="s">
        <v>120</v>
      </c>
      <c r="D36">
        <v>1</v>
      </c>
      <c r="F36">
        <f t="shared" si="0"/>
        <v>0</v>
      </c>
    </row>
    <row r="37" spans="1:7" x14ac:dyDescent="0.3">
      <c r="B37" t="s">
        <v>132</v>
      </c>
      <c r="D37">
        <v>1</v>
      </c>
      <c r="F37">
        <f t="shared" si="0"/>
        <v>0</v>
      </c>
    </row>
    <row r="38" spans="1:7" x14ac:dyDescent="0.3">
      <c r="B38" t="s">
        <v>133</v>
      </c>
      <c r="D38">
        <v>1</v>
      </c>
      <c r="F38">
        <f t="shared" si="0"/>
        <v>0</v>
      </c>
    </row>
    <row r="39" spans="1:7" x14ac:dyDescent="0.3">
      <c r="A39" t="s">
        <v>134</v>
      </c>
    </row>
    <row r="40" spans="1:7" x14ac:dyDescent="0.3">
      <c r="B40" t="s">
        <v>24</v>
      </c>
      <c r="D40">
        <v>1</v>
      </c>
      <c r="F40">
        <f t="shared" si="0"/>
        <v>0</v>
      </c>
    </row>
    <row r="41" spans="1:7" x14ac:dyDescent="0.3">
      <c r="A41" t="s">
        <v>121</v>
      </c>
    </row>
    <row r="42" spans="1:7" x14ac:dyDescent="0.3">
      <c r="B42" t="s">
        <v>20</v>
      </c>
      <c r="C42" t="s">
        <v>122</v>
      </c>
      <c r="D42">
        <v>2</v>
      </c>
      <c r="E42">
        <v>19</v>
      </c>
      <c r="F42">
        <f t="shared" si="0"/>
        <v>38</v>
      </c>
      <c r="G42" t="s">
        <v>30</v>
      </c>
    </row>
    <row r="43" spans="1:7" x14ac:dyDescent="0.3">
      <c r="B43" t="s">
        <v>124</v>
      </c>
      <c r="C43" t="s">
        <v>150</v>
      </c>
      <c r="D43">
        <v>2</v>
      </c>
      <c r="F43">
        <f t="shared" si="0"/>
        <v>0</v>
      </c>
    </row>
    <row r="44" spans="1:7" x14ac:dyDescent="0.3">
      <c r="B44" t="s">
        <v>123</v>
      </c>
      <c r="C44" t="s">
        <v>49</v>
      </c>
      <c r="D44">
        <v>1</v>
      </c>
      <c r="E44">
        <v>135.69999999999999</v>
      </c>
      <c r="F44">
        <f t="shared" si="0"/>
        <v>135.69999999999999</v>
      </c>
      <c r="G44" t="s">
        <v>161</v>
      </c>
    </row>
    <row r="45" spans="1:7" x14ac:dyDescent="0.3">
      <c r="A45" t="s">
        <v>125</v>
      </c>
    </row>
    <row r="46" spans="1:7" x14ac:dyDescent="0.3">
      <c r="B46" t="s">
        <v>7</v>
      </c>
      <c r="D46">
        <v>1</v>
      </c>
      <c r="E46">
        <v>1999</v>
      </c>
      <c r="F46">
        <f t="shared" si="0"/>
        <v>1999</v>
      </c>
      <c r="G46" s="15" t="s">
        <v>28</v>
      </c>
    </row>
    <row r="47" spans="1:7" x14ac:dyDescent="0.3">
      <c r="B47" t="s">
        <v>126</v>
      </c>
      <c r="D47">
        <v>3</v>
      </c>
      <c r="E47">
        <v>99</v>
      </c>
      <c r="F47">
        <f t="shared" si="0"/>
        <v>297</v>
      </c>
      <c r="G47" t="s">
        <v>91</v>
      </c>
    </row>
    <row r="48" spans="1:7" x14ac:dyDescent="0.3">
      <c r="B48" t="s">
        <v>127</v>
      </c>
      <c r="D48">
        <v>1</v>
      </c>
      <c r="E48">
        <v>1749</v>
      </c>
      <c r="F48">
        <f t="shared" si="0"/>
        <v>1749</v>
      </c>
      <c r="G48" t="s">
        <v>33</v>
      </c>
    </row>
    <row r="49" spans="1:8" x14ac:dyDescent="0.3">
      <c r="B49" t="s">
        <v>128</v>
      </c>
      <c r="D49">
        <v>1</v>
      </c>
      <c r="E49">
        <v>65</v>
      </c>
      <c r="F49">
        <f t="shared" si="0"/>
        <v>65</v>
      </c>
      <c r="G49" t="s">
        <v>92</v>
      </c>
    </row>
    <row r="50" spans="1:8" x14ac:dyDescent="0.3">
      <c r="B50" t="s">
        <v>160</v>
      </c>
      <c r="D50">
        <v>1</v>
      </c>
      <c r="E50">
        <v>99</v>
      </c>
      <c r="F50">
        <f t="shared" si="0"/>
        <v>99</v>
      </c>
      <c r="G50" t="s">
        <v>87</v>
      </c>
    </row>
    <row r="51" spans="1:8" x14ac:dyDescent="0.3">
      <c r="B51" t="s">
        <v>23</v>
      </c>
      <c r="D51">
        <v>2</v>
      </c>
      <c r="E51">
        <v>14</v>
      </c>
      <c r="F51">
        <f t="shared" si="0"/>
        <v>28</v>
      </c>
      <c r="G51" t="s">
        <v>159</v>
      </c>
    </row>
    <row r="52" spans="1:8" x14ac:dyDescent="0.3">
      <c r="A52" t="s">
        <v>135</v>
      </c>
      <c r="C52" t="s">
        <v>158</v>
      </c>
    </row>
    <row r="53" spans="1:8" x14ac:dyDescent="0.3">
      <c r="B53" t="s">
        <v>136</v>
      </c>
      <c r="C53" t="s">
        <v>152</v>
      </c>
      <c r="D53">
        <v>1</v>
      </c>
      <c r="F53">
        <f t="shared" si="0"/>
        <v>0</v>
      </c>
      <c r="G53" t="s">
        <v>171</v>
      </c>
    </row>
    <row r="54" spans="1:8" x14ac:dyDescent="0.3">
      <c r="B54" t="s">
        <v>137</v>
      </c>
      <c r="C54" t="s">
        <v>151</v>
      </c>
      <c r="D54">
        <v>1</v>
      </c>
      <c r="F54">
        <f t="shared" si="0"/>
        <v>0</v>
      </c>
      <c r="G54" t="s">
        <v>172</v>
      </c>
    </row>
    <row r="55" spans="1:8" x14ac:dyDescent="0.3">
      <c r="B55" t="s">
        <v>138</v>
      </c>
      <c r="C55" t="s">
        <v>153</v>
      </c>
      <c r="D55">
        <v>5</v>
      </c>
      <c r="F55">
        <v>1150</v>
      </c>
      <c r="G55" t="s">
        <v>170</v>
      </c>
    </row>
    <row r="56" spans="1:8" x14ac:dyDescent="0.3">
      <c r="B56" t="s">
        <v>138</v>
      </c>
      <c r="C56" t="s">
        <v>154</v>
      </c>
      <c r="D56">
        <v>3</v>
      </c>
      <c r="F56">
        <f t="shared" si="0"/>
        <v>0</v>
      </c>
    </row>
    <row r="57" spans="1:8" x14ac:dyDescent="0.3">
      <c r="B57" t="s">
        <v>138</v>
      </c>
      <c r="C57" t="s">
        <v>155</v>
      </c>
      <c r="D57">
        <v>3</v>
      </c>
      <c r="F57">
        <f t="shared" si="0"/>
        <v>0</v>
      </c>
    </row>
    <row r="58" spans="1:8" x14ac:dyDescent="0.3">
      <c r="B58" t="s">
        <v>138</v>
      </c>
      <c r="C58" t="s">
        <v>156</v>
      </c>
      <c r="D58">
        <v>1</v>
      </c>
      <c r="F58">
        <f t="shared" si="0"/>
        <v>0</v>
      </c>
    </row>
    <row r="59" spans="1:8" x14ac:dyDescent="0.3">
      <c r="B59" t="s">
        <v>138</v>
      </c>
      <c r="C59" t="s">
        <v>157</v>
      </c>
      <c r="D59">
        <v>3</v>
      </c>
      <c r="F59">
        <f t="shared" si="0"/>
        <v>0</v>
      </c>
    </row>
    <row r="60" spans="1:8" x14ac:dyDescent="0.3">
      <c r="A60" t="s">
        <v>169</v>
      </c>
    </row>
    <row r="61" spans="1:8" x14ac:dyDescent="0.3">
      <c r="B61" t="s">
        <v>19</v>
      </c>
      <c r="D61">
        <v>1</v>
      </c>
      <c r="E61">
        <v>499</v>
      </c>
      <c r="F61">
        <v>499</v>
      </c>
      <c r="G61" t="s">
        <v>29</v>
      </c>
    </row>
    <row r="62" spans="1:8" x14ac:dyDescent="0.3">
      <c r="F62" s="16">
        <f>SUM(F2:F61)</f>
        <v>19545.000000000004</v>
      </c>
    </row>
    <row r="63" spans="1:8" x14ac:dyDescent="0.3">
      <c r="H63">
        <v>203.88</v>
      </c>
    </row>
  </sheetData>
  <hyperlinks>
    <hyperlink ref="G21" r:id="rId1" xr:uid="{934D0806-9D8A-4BB3-80D0-96E2E7D977EE}"/>
    <hyperlink ref="G46" r:id="rId2" xr:uid="{3F393416-DB3E-4C85-AEA8-D01844F11F6E}"/>
    <hyperlink ref="G25" r:id="rId3" xr:uid="{06B0613B-9910-46D8-890D-1015C957F01B}"/>
  </hyperlinks>
  <pageMargins left="0.7" right="0.7" top="0.75" bottom="0.75" header="0.3" footer="0.3"/>
  <pageSetup paperSize="9" orientation="portrait" verticalDpi="0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AB83F-C619-41D0-B6F8-227180981870}">
  <dimension ref="A1:D30"/>
  <sheetViews>
    <sheetView topLeftCell="A4" workbookViewId="0">
      <selection activeCell="D31" sqref="D31"/>
    </sheetView>
  </sheetViews>
  <sheetFormatPr defaultRowHeight="14.4" x14ac:dyDescent="0.3"/>
  <cols>
    <col min="1" max="1" width="13.33203125" customWidth="1"/>
    <col min="2" max="2" width="15.33203125" customWidth="1"/>
    <col min="4" max="4" width="10.33203125" bestFit="1" customWidth="1"/>
  </cols>
  <sheetData>
    <row r="1" spans="1:4" x14ac:dyDescent="0.3">
      <c r="A1" s="3" t="s">
        <v>1</v>
      </c>
      <c r="B1" s="3" t="s">
        <v>35</v>
      </c>
      <c r="C1" s="5" t="s">
        <v>2</v>
      </c>
      <c r="D1" s="5" t="s">
        <v>36</v>
      </c>
    </row>
    <row r="2" spans="1:4" ht="28.8" x14ac:dyDescent="0.3">
      <c r="A2" s="6" t="s">
        <v>37</v>
      </c>
      <c r="B2" s="6" t="s">
        <v>38</v>
      </c>
      <c r="C2" s="4">
        <v>26</v>
      </c>
      <c r="D2" s="7">
        <v>650</v>
      </c>
    </row>
    <row r="3" spans="1:4" ht="28.8" x14ac:dyDescent="0.3">
      <c r="A3" s="6" t="s">
        <v>37</v>
      </c>
      <c r="B3" s="6" t="s">
        <v>39</v>
      </c>
      <c r="C3" s="4">
        <v>10</v>
      </c>
      <c r="D3" s="7">
        <v>275</v>
      </c>
    </row>
    <row r="4" spans="1:4" ht="28.8" x14ac:dyDescent="0.3">
      <c r="A4" s="6" t="s">
        <v>37</v>
      </c>
      <c r="B4" s="6" t="s">
        <v>40</v>
      </c>
      <c r="C4" s="4">
        <v>10</v>
      </c>
      <c r="D4" s="7">
        <v>275</v>
      </c>
    </row>
    <row r="5" spans="1:4" ht="28.8" x14ac:dyDescent="0.3">
      <c r="A5" s="6" t="s">
        <v>37</v>
      </c>
      <c r="B5" s="6" t="s">
        <v>41</v>
      </c>
      <c r="C5" s="4">
        <v>10</v>
      </c>
      <c r="D5" s="7">
        <v>275</v>
      </c>
    </row>
    <row r="6" spans="1:4" ht="28.8" x14ac:dyDescent="0.3">
      <c r="A6" s="6" t="s">
        <v>37</v>
      </c>
      <c r="B6" s="6" t="s">
        <v>42</v>
      </c>
      <c r="C6" s="4">
        <v>10</v>
      </c>
      <c r="D6" s="7">
        <v>300</v>
      </c>
    </row>
    <row r="7" spans="1:4" ht="28.8" x14ac:dyDescent="0.3">
      <c r="A7" s="6" t="s">
        <v>37</v>
      </c>
      <c r="B7" s="6" t="s">
        <v>43</v>
      </c>
      <c r="C7" s="4">
        <v>10</v>
      </c>
      <c r="D7" s="7">
        <v>200</v>
      </c>
    </row>
    <row r="8" spans="1:4" ht="28.8" x14ac:dyDescent="0.3">
      <c r="A8" s="6" t="s">
        <v>37</v>
      </c>
      <c r="B8" s="6" t="s">
        <v>44</v>
      </c>
      <c r="C8" s="4">
        <v>10</v>
      </c>
      <c r="D8" s="7">
        <v>240</v>
      </c>
    </row>
    <row r="9" spans="1:4" ht="28.8" x14ac:dyDescent="0.3">
      <c r="A9" s="6" t="s">
        <v>37</v>
      </c>
      <c r="B9" s="6" t="s">
        <v>45</v>
      </c>
      <c r="C9" s="4">
        <v>10</v>
      </c>
      <c r="D9" s="7">
        <v>200</v>
      </c>
    </row>
    <row r="10" spans="1:4" ht="28.8" x14ac:dyDescent="0.3">
      <c r="A10" s="6" t="s">
        <v>46</v>
      </c>
      <c r="B10" s="6" t="s">
        <v>39</v>
      </c>
      <c r="C10" s="4">
        <v>12</v>
      </c>
      <c r="D10" s="7">
        <v>300</v>
      </c>
    </row>
    <row r="11" spans="1:4" x14ac:dyDescent="0.3">
      <c r="A11" s="6" t="s">
        <v>47</v>
      </c>
      <c r="B11" s="6" t="s">
        <v>48</v>
      </c>
      <c r="C11" s="4">
        <v>10</v>
      </c>
      <c r="D11" s="7">
        <v>180</v>
      </c>
    </row>
    <row r="12" spans="1:4" x14ac:dyDescent="0.3">
      <c r="A12" s="6" t="s">
        <v>47</v>
      </c>
      <c r="B12" s="6" t="s">
        <v>49</v>
      </c>
      <c r="C12" s="4">
        <v>27</v>
      </c>
      <c r="D12" s="7">
        <v>486</v>
      </c>
    </row>
    <row r="13" spans="1:4" ht="28.8" x14ac:dyDescent="0.3">
      <c r="A13" s="6" t="s">
        <v>50</v>
      </c>
      <c r="B13" s="6" t="s">
        <v>51</v>
      </c>
      <c r="C13" s="4">
        <v>1</v>
      </c>
      <c r="D13" s="7">
        <v>110</v>
      </c>
    </row>
    <row r="14" spans="1:4" x14ac:dyDescent="0.3">
      <c r="A14" s="6" t="s">
        <v>52</v>
      </c>
      <c r="B14" s="6" t="s">
        <v>53</v>
      </c>
      <c r="C14" s="4">
        <v>8</v>
      </c>
      <c r="D14" s="7">
        <v>528</v>
      </c>
    </row>
    <row r="15" spans="1:4" ht="28.8" x14ac:dyDescent="0.3">
      <c r="A15" s="6" t="s">
        <v>54</v>
      </c>
      <c r="B15" s="6" t="s">
        <v>55</v>
      </c>
      <c r="C15" s="4">
        <v>16</v>
      </c>
      <c r="D15" s="7">
        <v>240</v>
      </c>
    </row>
    <row r="16" spans="1:4" x14ac:dyDescent="0.3">
      <c r="A16" s="6" t="s">
        <v>56</v>
      </c>
      <c r="B16" s="6" t="s">
        <v>57</v>
      </c>
      <c r="C16" s="4">
        <v>16</v>
      </c>
      <c r="D16" s="7">
        <v>176</v>
      </c>
    </row>
    <row r="17" spans="1:4" ht="28.8" x14ac:dyDescent="0.3">
      <c r="A17" s="6" t="s">
        <v>58</v>
      </c>
      <c r="B17" s="6" t="s">
        <v>49</v>
      </c>
      <c r="C17" s="4">
        <v>15</v>
      </c>
      <c r="D17" s="7">
        <v>52.5</v>
      </c>
    </row>
    <row r="18" spans="1:4" ht="28.8" x14ac:dyDescent="0.3">
      <c r="A18" s="6" t="s">
        <v>59</v>
      </c>
      <c r="B18" s="6" t="s">
        <v>60</v>
      </c>
      <c r="C18" s="4">
        <v>12</v>
      </c>
      <c r="D18" s="7">
        <v>2220</v>
      </c>
    </row>
    <row r="19" spans="1:4" ht="28.8" x14ac:dyDescent="0.3">
      <c r="A19" s="6" t="s">
        <v>61</v>
      </c>
      <c r="B19" s="6" t="s">
        <v>62</v>
      </c>
      <c r="C19" s="4">
        <v>1</v>
      </c>
      <c r="D19" s="7">
        <v>2360</v>
      </c>
    </row>
    <row r="20" spans="1:4" ht="28.8" x14ac:dyDescent="0.3">
      <c r="A20" s="6" t="s">
        <v>63</v>
      </c>
      <c r="B20" s="6" t="s">
        <v>62</v>
      </c>
      <c r="C20" s="4">
        <v>1</v>
      </c>
      <c r="D20" s="7">
        <v>720</v>
      </c>
    </row>
    <row r="22" spans="1:4" x14ac:dyDescent="0.3">
      <c r="A22" s="3" t="s">
        <v>64</v>
      </c>
      <c r="B22" s="5" t="s">
        <v>65</v>
      </c>
    </row>
    <row r="23" spans="1:4" x14ac:dyDescent="0.3">
      <c r="A23" s="6" t="s">
        <v>66</v>
      </c>
      <c r="B23" s="10">
        <v>9787.5</v>
      </c>
    </row>
    <row r="24" spans="1:4" x14ac:dyDescent="0.3">
      <c r="A24" s="6" t="s">
        <v>10</v>
      </c>
      <c r="B24" s="10">
        <v>250</v>
      </c>
    </row>
    <row r="25" spans="1:4" x14ac:dyDescent="0.3">
      <c r="A25" s="6" t="s">
        <v>11</v>
      </c>
      <c r="B25" s="10">
        <v>1806.75</v>
      </c>
    </row>
    <row r="26" spans="1:4" x14ac:dyDescent="0.3">
      <c r="A26" s="6" t="s">
        <v>67</v>
      </c>
      <c r="B26" s="10">
        <v>11844.25</v>
      </c>
    </row>
    <row r="28" spans="1:4" x14ac:dyDescent="0.3">
      <c r="A28" s="3" t="s">
        <v>1</v>
      </c>
      <c r="B28" s="3" t="s">
        <v>4</v>
      </c>
    </row>
    <row r="29" spans="1:4" ht="43.2" x14ac:dyDescent="0.3">
      <c r="A29" s="6" t="s">
        <v>68</v>
      </c>
      <c r="B29" s="6" t="s">
        <v>69</v>
      </c>
    </row>
    <row r="30" spans="1:4" ht="28.8" x14ac:dyDescent="0.3">
      <c r="A30" s="6" t="s">
        <v>70</v>
      </c>
      <c r="B30" s="6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selection activeCell="B6" sqref="B6"/>
    </sheetView>
  </sheetViews>
  <sheetFormatPr defaultRowHeight="14.4" x14ac:dyDescent="0.3"/>
  <cols>
    <col min="2" max="2" width="11.88671875" customWidth="1"/>
    <col min="4" max="4" width="11.109375" customWidth="1"/>
    <col min="5" max="5" width="11.33203125" customWidth="1"/>
  </cols>
  <sheetData>
    <row r="1" spans="1:5" x14ac:dyDescent="0.3">
      <c r="A1" s="1" t="s">
        <v>3</v>
      </c>
      <c r="B1" s="1" t="s">
        <v>66</v>
      </c>
      <c r="C1" s="1" t="s">
        <v>10</v>
      </c>
      <c r="D1" s="1" t="s">
        <v>11</v>
      </c>
      <c r="E1" s="1" t="s">
        <v>67</v>
      </c>
    </row>
    <row r="2" spans="1:5" x14ac:dyDescent="0.3">
      <c r="A2" t="s">
        <v>72</v>
      </c>
      <c r="B2" s="9">
        <v>9787.5</v>
      </c>
      <c r="C2" s="9">
        <v>250</v>
      </c>
      <c r="D2" s="9">
        <v>1806.75</v>
      </c>
      <c r="E2" s="9">
        <v>11844.25</v>
      </c>
    </row>
    <row r="3" spans="1:5" x14ac:dyDescent="0.3">
      <c r="A3" t="s">
        <v>8</v>
      </c>
      <c r="B3" s="9">
        <v>3698.1</v>
      </c>
      <c r="C3" s="9">
        <v>0</v>
      </c>
      <c r="D3" s="9">
        <v>665.66</v>
      </c>
      <c r="E3" s="9">
        <v>4363.76</v>
      </c>
    </row>
    <row r="4" spans="1:5" x14ac:dyDescent="0.3">
      <c r="A4" t="s">
        <v>22</v>
      </c>
      <c r="B4" s="9">
        <v>3199</v>
      </c>
      <c r="C4" s="9">
        <v>250</v>
      </c>
      <c r="D4" s="9">
        <v>620.82000000000005</v>
      </c>
      <c r="E4" s="9">
        <v>4069.82</v>
      </c>
    </row>
    <row r="5" spans="1:5" x14ac:dyDescent="0.3">
      <c r="A5" t="s">
        <v>18</v>
      </c>
      <c r="B5" s="9">
        <v>654</v>
      </c>
      <c r="C5" s="9">
        <v>60</v>
      </c>
      <c r="D5" t="s">
        <v>73</v>
      </c>
      <c r="E5" s="9">
        <v>714</v>
      </c>
    </row>
    <row r="6" spans="1:5" x14ac:dyDescent="0.3">
      <c r="A6" t="s">
        <v>67</v>
      </c>
      <c r="E6" s="9">
        <v>20991.83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C5" sqref="C5"/>
    </sheetView>
  </sheetViews>
  <sheetFormatPr defaultRowHeight="14.4" x14ac:dyDescent="0.3"/>
  <cols>
    <col min="2" max="2" width="12.6640625" customWidth="1"/>
  </cols>
  <sheetData>
    <row r="1" spans="1:2" x14ac:dyDescent="0.3">
      <c r="A1" s="3" t="s">
        <v>0</v>
      </c>
      <c r="B1" s="5" t="s">
        <v>65</v>
      </c>
    </row>
    <row r="2" spans="1:2" ht="57.6" x14ac:dyDescent="0.3">
      <c r="A2" s="6" t="s">
        <v>74</v>
      </c>
      <c r="B2" s="10">
        <v>20991.83</v>
      </c>
    </row>
    <row r="3" spans="1:2" ht="43.2" x14ac:dyDescent="0.3">
      <c r="A3" s="6" t="s">
        <v>75</v>
      </c>
      <c r="B3" s="10">
        <v>774</v>
      </c>
    </row>
    <row r="4" spans="1:2" ht="43.2" x14ac:dyDescent="0.3">
      <c r="A4" s="11" t="s">
        <v>76</v>
      </c>
      <c r="B4" s="12">
        <v>21765.83</v>
      </c>
    </row>
    <row r="5" spans="1:2" ht="28.8" x14ac:dyDescent="0.3">
      <c r="A5" s="6" t="s">
        <v>77</v>
      </c>
      <c r="B5" s="5" t="s">
        <v>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workbookViewId="0">
      <selection activeCell="H16" sqref="H16"/>
    </sheetView>
  </sheetViews>
  <sheetFormatPr defaultRowHeight="14.4" x14ac:dyDescent="0.3"/>
  <cols>
    <col min="1" max="1" width="10.5546875" customWidth="1"/>
  </cols>
  <sheetData>
    <row r="1" spans="1:4" x14ac:dyDescent="0.3">
      <c r="A1" s="3" t="s">
        <v>1</v>
      </c>
      <c r="B1" s="5" t="s">
        <v>2</v>
      </c>
      <c r="C1" s="3" t="s">
        <v>5</v>
      </c>
      <c r="D1" s="3" t="s">
        <v>6</v>
      </c>
    </row>
    <row r="2" spans="1:4" x14ac:dyDescent="0.3">
      <c r="A2" s="6" t="s">
        <v>7</v>
      </c>
      <c r="B2" s="4">
        <v>1</v>
      </c>
      <c r="C2" s="2" t="s">
        <v>79</v>
      </c>
      <c r="D2" s="2" t="s">
        <v>79</v>
      </c>
    </row>
    <row r="3" spans="1:4" ht="28.8" x14ac:dyDescent="0.3">
      <c r="A3" s="6" t="s">
        <v>80</v>
      </c>
      <c r="B3" s="4">
        <v>3</v>
      </c>
      <c r="C3" s="2" t="s">
        <v>79</v>
      </c>
      <c r="D3" s="2" t="s">
        <v>79</v>
      </c>
    </row>
    <row r="4" spans="1:4" x14ac:dyDescent="0.3">
      <c r="A4" s="6" t="s">
        <v>81</v>
      </c>
      <c r="B4" s="4">
        <v>1</v>
      </c>
      <c r="C4" s="2" t="s">
        <v>79</v>
      </c>
      <c r="D4" s="2" t="s">
        <v>79</v>
      </c>
    </row>
    <row r="5" spans="1:4" x14ac:dyDescent="0.3">
      <c r="A5" s="6" t="s">
        <v>82</v>
      </c>
      <c r="B5" s="4">
        <v>3</v>
      </c>
      <c r="C5" s="2" t="s">
        <v>79</v>
      </c>
      <c r="D5" s="2" t="s">
        <v>79</v>
      </c>
    </row>
    <row r="6" spans="1:4" ht="28.8" x14ac:dyDescent="0.3">
      <c r="A6" s="6" t="s">
        <v>83</v>
      </c>
      <c r="B6" s="4">
        <v>1</v>
      </c>
      <c r="C6" s="2" t="s">
        <v>79</v>
      </c>
      <c r="D6" s="2" t="s">
        <v>79</v>
      </c>
    </row>
    <row r="7" spans="1:4" ht="28.8" x14ac:dyDescent="0.3">
      <c r="A7" s="6" t="s">
        <v>24</v>
      </c>
      <c r="B7" s="4">
        <v>1</v>
      </c>
      <c r="C7" s="2" t="s">
        <v>79</v>
      </c>
      <c r="D7" s="2" t="s">
        <v>79</v>
      </c>
    </row>
    <row r="8" spans="1:4" ht="28.8" x14ac:dyDescent="0.3">
      <c r="A8" s="6" t="s">
        <v>23</v>
      </c>
      <c r="B8" s="4">
        <v>2</v>
      </c>
      <c r="C8" s="2" t="s">
        <v>79</v>
      </c>
      <c r="D8" s="2" t="s">
        <v>79</v>
      </c>
    </row>
    <row r="9" spans="1:4" x14ac:dyDescent="0.3">
      <c r="A9" s="6" t="s">
        <v>84</v>
      </c>
      <c r="B9" s="4">
        <v>12</v>
      </c>
      <c r="C9" s="2" t="s">
        <v>79</v>
      </c>
      <c r="D9" s="2" t="s">
        <v>79</v>
      </c>
    </row>
    <row r="10" spans="1:4" ht="28.8" x14ac:dyDescent="0.3">
      <c r="A10" s="6" t="s">
        <v>85</v>
      </c>
      <c r="B10" s="4" t="s">
        <v>86</v>
      </c>
      <c r="C10" s="2" t="s">
        <v>79</v>
      </c>
      <c r="D10" s="2" t="s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Parts</vt:lpstr>
      <vt:lpstr>Sheet2</vt:lpstr>
      <vt:lpstr>CNC_Pen-ploter</vt:lpstr>
      <vt:lpstr>Store Summary</vt:lpstr>
      <vt:lpstr>Build Cost</vt:lpstr>
      <vt:lpstr>Purchase 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Nitin Swarnkar</cp:lastModifiedBy>
  <dcterms:created xsi:type="dcterms:W3CDTF">2026-06-10T11:21:50Z</dcterms:created>
  <dcterms:modified xsi:type="dcterms:W3CDTF">2026-08-31T23:33:51Z</dcterms:modified>
</cp:coreProperties>
</file>