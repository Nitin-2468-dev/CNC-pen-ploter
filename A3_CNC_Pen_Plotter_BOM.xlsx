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3 CNC Pen Plotter 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<sst xmlns="http://schemas.openxmlformats.org/spreadsheetml/2006/main" count="192" uniqueCount="119">
  <si>
    <t xml:space="preserve">Category</t>
  </si>
  <si>
    <t xml:space="preserve">Part</t>
  </si>
  <si>
    <t xml:space="preserve">Specification</t>
  </si>
  <si>
    <t xml:space="preserve">Qty</t>
  </si>
  <si>
    <t xml:space="preserve">Unit Cost (INR)</t>
  </si>
  <si>
    <t xml:space="preserve">Total Cost (INR)</t>
  </si>
  <si>
    <t xml:space="preserve">Est. Cost (USD)</t>
  </si>
  <si>
    <t xml:space="preserve">Link</t>
  </si>
  <si>
    <t xml:space="preserve">Motion</t>
  </si>
  <si>
    <t xml:space="preserve">NEMA 17 Stepper Motor</t>
  </si>
  <si>
    <t xml:space="preserve">42 x 42 mm</t>
  </si>
  <si>
    <t xml:space="preserve">3</t>
  </si>
  <si>
    <t xml:space="preserve">https://rees52.com/products/17hs4401s-nema-17-stepper-motor-for-3d-printer?_pos=4&amp;_sid=48153941e&amp;_ss=r</t>
  </si>
  <si>
    <t xml:space="preserve">Delrin Solid V-Wheel</t>
  </si>
  <si>
    <t xml:space="preserve">.</t>
  </si>
  <si>
    <t xml:space="preserve">12</t>
  </si>
  <si>
    <t xml:space="preserve">https://www.3dprintronics.com/products/?productId=65234093</t>
  </si>
  <si>
    <t xml:space="preserve">GT2 Timing Pulley</t>
  </si>
  <si>
    <t xml:space="preserve">20T, M5</t>
  </si>
  <si>
    <t xml:space="preserve">1</t>
  </si>
  <si>
    <t xml:space="preserve">https://www.3dprintronics.com/products/gt-2-pulley-20t-5mm-bore</t>
  </si>
  <si>
    <t xml:space="preserve">GT2 Timing Belt</t>
  </si>
  <si>
    <t xml:space="preserve">2m</t>
  </si>
  <si>
    <t xml:space="preserve">2</t>
  </si>
  <si>
    <t xml:space="preserve">https://makerbazar.in/products/1m-gt2-width-6mm-black-open-timing-belt-for-3d-printer</t>
  </si>
  <si>
    <t xml:space="preserve">Aluminium Frame</t>
  </si>
  <si>
    <t xml:space="preserve">V-Slot Extrusion 2040</t>
  </si>
  <si>
    <t xml:space="preserve">444 mm</t>
  </si>
  <si>
    <t xml:space="preserve">https://www.3dprintronics.com/extrusions?productId=721461094</t>
  </si>
  <si>
    <t xml:space="preserve">610 mm</t>
  </si>
  <si>
    <t xml:space="preserve">V-Slot Extrusion 2020</t>
  </si>
  <si>
    <t xml:space="preserve">https://www.3dprintronics.com/extrusions?productId=720294005</t>
  </si>
  <si>
    <t xml:space="preserve">Corner Bracket 20</t>
  </si>
  <si>
    <t xml:space="preserve">20 Series</t>
  </si>
  <si>
    <t xml:space="preserve">8</t>
  </si>
  <si>
    <t xml:space="preserve">https://www.3dprintronics.com/brackets</t>
  </si>
  <si>
    <t xml:space="preserve">M5 Hardware</t>
  </si>
  <si>
    <t xml:space="preserve">Ultra Low Profile Screw</t>
  </si>
  <si>
    <t xml:space="preserve">M5x 50mm</t>
  </si>
  <si>
    <t xml:space="preserve">M5 x40mm</t>
  </si>
  <si>
    <t xml:space="preserve">M5x 30mm</t>
  </si>
  <si>
    <t xml:space="preserve">M5 × 25 mm</t>
  </si>
  <si>
    <t xml:space="preserve">M5 x 15 mm</t>
  </si>
  <si>
    <t xml:space="preserve">6</t>
  </si>
  <si>
    <t xml:space="preserve">M5 × 10 mm</t>
  </si>
  <si>
    <t xml:space="preserve">M5 × 8 mm</t>
  </si>
  <si>
    <t xml:space="preserve">30</t>
  </si>
  <si>
    <t xml:space="preserve">Nylon Lock Nut</t>
  </si>
  <si>
    <t xml:space="preserve">M5</t>
  </si>
  <si>
    <t xml:space="preserve">16</t>
  </si>
  <si>
    <t xml:space="preserve">Washer / Shim</t>
  </si>
  <si>
    <t xml:space="preserve">28</t>
  </si>
  <si>
    <t xml:space="preserve">Drop-In T-Nut</t>
  </si>
  <si>
    <t xml:space="preserve">34</t>
  </si>
  <si>
    <t xml:space="preserve">https://www.3dprintronics.com/tnuts</t>
  </si>
  <si>
    <t xml:space="preserve">M3 Hardware</t>
  </si>
  <si>
    <t xml:space="preserve">Screw</t>
  </si>
  <si>
    <t xml:space="preserve">M3 × 16 mm</t>
  </si>
  <si>
    <t xml:space="preserve">M3 x 10 mm</t>
  </si>
  <si>
    <t xml:space="preserve">PCB Stand-Off</t>
  </si>
  <si>
    <t xml:space="preserve">M3</t>
  </si>
  <si>
    <t xml:space="preserve">https://rees52.com/products/m3x10mm-nylon-hex-spacers-10mm-female-female-nylon-hex-spacers-versatile-m3-nylon-hex-spacers-for-electronics-projects-pack-of-10-rs4028?_pos=4&amp;_sid=70c24bf3d&amp;_ss=r</t>
  </si>
  <si>
    <t xml:space="preserve">M2.5 Hardware</t>
  </si>
  <si>
    <t xml:space="preserve">M2.5 × 4 mm</t>
  </si>
  <si>
    <t xml:space="preserve">M2 Hardware</t>
  </si>
  <si>
    <t xml:space="preserve">M2 x 8 mm</t>
  </si>
  <si>
    <t xml:space="preserve">Spacers</t>
  </si>
  <si>
    <t xml:space="preserve">Aluminium Spacer</t>
  </si>
  <si>
    <t xml:space="preserve">5.1 mm ID × 6 mm</t>
  </si>
  <si>
    <t xml:space="preserve">https://www.3dprintronics.com/fasteners</t>
  </si>
  <si>
    <t xml:space="preserve">Printed Parts</t>
  </si>
  <si>
    <t xml:space="preserve">Clip Fixture</t>
  </si>
  <si>
    <t xml:space="preserve">Limit Switch Mount</t>
  </si>
  <si>
    <t xml:space="preserve">Pen Carriage Moving</t>
  </si>
  <si>
    <t xml:space="preserve">Pen Carriage Monunt</t>
  </si>
  <si>
    <t xml:space="preserve">Buck convertor Mount</t>
  </si>
  <si>
    <t xml:space="preserve">Laser cut</t>
  </si>
  <si>
    <t xml:space="preserve">ACRO Plate Set</t>
  </si>
  <si>
    <t xml:space="preserve">https://www.3dprintronics.com/products/acro-acrylic-plate-set</t>
  </si>
  <si>
    <t xml:space="preserve">Pen Lift</t>
  </si>
  <si>
    <t xml:space="preserve">Concrete Nail</t>
  </si>
  <si>
    <t xml:space="preserve">70 mm</t>
  </si>
  <si>
    <t xml:space="preserve">https://makerbazar.in/products/concrete-iron-nails?variant=44871802716400</t>
  </si>
  <si>
    <t xml:space="preserve">Pen Spring</t>
  </si>
  <si>
    <t xml:space="preserve">7.5mm</t>
  </si>
  <si>
    <t xml:space="preserve">Screw Knob</t>
  </si>
  <si>
    <t xml:space="preserve">Electronics</t>
  </si>
  <si>
    <t xml:space="preserve">MKS DLC32</t>
  </si>
  <si>
    <t xml:space="preserve">https://rees52.com/products/makerbase-mks-dlc32-v2-1-offline-controller-board-for-standalone-3d-printer-cnc-board?selling_plan=2556362919&amp;variant=47709331161255</t>
  </si>
  <si>
    <t xml:space="preserve">DRV8825 Motor Driver</t>
  </si>
  <si>
    <t xml:space="preserve">https://makerbazar.in/products/drv8825-stepper-motor-driver-with-aluminum-heat-sink?variant=45989819384048</t>
  </si>
  <si>
    <t xml:space="preserve">Meanwell Power Supply</t>
  </si>
  <si>
    <t xml:space="preserve">https://www.3dprintronics.com/products/original-meanwell-psu-lrs-150-24</t>
  </si>
  <si>
    <t xml:space="preserve">DC-DC Converter</t>
  </si>
  <si>
    <t xml:space="preserve">https://makerbazar.in/products/xl6009-dc-dc-adjustable-boost-buck-step-up-step-down-converter-module?variant=49621760803056</t>
  </si>
  <si>
    <t xml:space="preserve">Servo Motor </t>
  </si>
  <si>
    <t xml:space="preserve">https://makerbazar.in/products/small-servo-plastic-gear-svg90s?variant=45449411395824</t>
  </si>
  <si>
    <t xml:space="preserve">Limit Switch</t>
  </si>
  <si>
    <t xml:space="preserve">https://makerbazar.in/products/automation-direct-limit-switch?variant=46931163742448</t>
  </si>
  <si>
    <t xml:space="preserve">Connectors</t>
  </si>
  <si>
    <t xml:space="preserve">JST-XH Connector Kit</t>
  </si>
  <si>
    <t xml:space="preserve">2.54 mm, 230 pcs</t>
  </si>
  <si>
    <t xml:space="preserve">https://makerbazar.in/products/230pcs-jst-xh-2-54mm-terminal-connectors-kit?variant=44076187353328</t>
  </si>
  <si>
    <t xml:space="preserve">Wire Stripper / Crimper</t>
  </si>
  <si>
    <t xml:space="preserve">27 in 1</t>
  </si>
  <si>
    <t xml:space="preserve">https://makerbazar.in/products/multifunctional-wire-stripper-tool?variant=48854082224368</t>
  </si>
  <si>
    <t xml:space="preserve">22 AWG wire.</t>
  </si>
  <si>
    <t xml:space="preserve">RED</t>
  </si>
  <si>
    <t xml:space="preserve">5</t>
  </si>
  <si>
    <t xml:space="preserve">https://rees52.com/products/22-awg-hookup-wire-kit-600v-pre-tinned-solid-core-copper-wire-6-assorted-colors-10-meters-each-for-electronics-and-diy-projects-solid-rs3858?variant=45173813280935&amp;country=IN&amp;currency=INR</t>
  </si>
  <si>
    <t xml:space="preserve">BLACK</t>
  </si>
  <si>
    <t xml:space="preserve">BLUE</t>
  </si>
  <si>
    <t xml:space="preserve">YELLOW</t>
  </si>
  <si>
    <t xml:space="preserve">GREEN</t>
  </si>
  <si>
    <t xml:space="preserve">other</t>
  </si>
  <si>
    <t xml:space="preserve">20mm Conduit</t>
  </si>
  <si>
    <t xml:space="preserve">https://makerbazar.in/products/gi-flexible-electrical-conduit-pipe?variant=49720866930928</t>
  </si>
  <si>
    <t xml:space="preserve">Category Totals</t>
  </si>
  <si>
    <t xml:space="preserve">Grand 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</si>
</sst>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.00"/>
    <numFmt numFmtId="166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u val="single"/>
      <sz val="10"/>
      <color rgb="FF0563C1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2"/>
      <color rgb="FFFFFFF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2F6FA"/>
      </patternFill>
    </fill>
    <fill>
      <patternFill patternType="solid">
        <fgColor rgb="FFF2F6FA"/>
        <bgColor rgb="FFFFFFFF"/>
      </patternFill>
    </fill>
    <fill>
      <patternFill patternType="solid">
        <fgColor rgb="FFD9E2F3"/>
        <bgColor rgb="FFF2F6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6FA"/>
      <rgbColor rgb="FFCCFFFF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rees52.com/products/17hs4401s-nema-17-stepper-motor-for-3d-printer?_pos=4&amp;_sid=48153941e&amp;_ss=r" TargetMode="External"/><Relationship Id="rId2" Type="http://schemas.openxmlformats.org/officeDocument/2006/relationships/hyperlink" Target="https://www.3dprintronics.com/products/?productId=65234093" TargetMode="External"/><Relationship Id="rId3" Type="http://schemas.openxmlformats.org/officeDocument/2006/relationships/hyperlink" Target="https://www.3dprintronics.com/products/gt-2-pulley-20t-5mm-bore" TargetMode="External"/><Relationship Id="rId4" Type="http://schemas.openxmlformats.org/officeDocument/2006/relationships/hyperlink" Target="https://makerbazar.in/products/1m-gt2-width-6mm-black-open-timing-belt-for-3d-printer" TargetMode="External"/><Relationship Id="rId5" Type="http://schemas.openxmlformats.org/officeDocument/2006/relationships/hyperlink" Target="https://www.3dprintronics.com/extrusions?productId=721461094" TargetMode="External"/><Relationship Id="rId6" Type="http://schemas.openxmlformats.org/officeDocument/2006/relationships/hyperlink" Target="https://www.3dprintronics.com/extrusions?productId=721461094" TargetMode="External"/><Relationship Id="rId7" Type="http://schemas.openxmlformats.org/officeDocument/2006/relationships/hyperlink" Target="https://www.3dprintronics.com/extrusions?productId=720294005" TargetMode="External"/><Relationship Id="rId8" Type="http://schemas.openxmlformats.org/officeDocument/2006/relationships/hyperlink" Target="https://www.3dprintronics.com/brackets" TargetMode="External"/><Relationship Id="rId9" Type="http://schemas.openxmlformats.org/officeDocument/2006/relationships/hyperlink" Target="https://www.3dprintronics.com/tnuts" TargetMode="External"/><Relationship Id="rId10" Type="http://schemas.openxmlformats.org/officeDocument/2006/relationships/hyperlink" Target="https://rees52.com/products/m3x10mm-nylon-hex-spacers-10mm-female-female-nylon-hex-spacers-versatile-m3-nylon-hex-spacers-for-electronics-projects-pack-of-10-rs4028?_pos=4&amp;_sid=70c24bf3d&amp;_ss=r" TargetMode="External"/><Relationship Id="rId11" Type="http://schemas.openxmlformats.org/officeDocument/2006/relationships/hyperlink" Target="https://www.3dprintronics.com/tnuts" TargetMode="External"/><Relationship Id="rId12" Type="http://schemas.openxmlformats.org/officeDocument/2006/relationships/hyperlink" Target="https://www.3dprintronics.com/fasteners" TargetMode="External"/><Relationship Id="rId13" Type="http://schemas.openxmlformats.org/officeDocument/2006/relationships/hyperlink" Target="https://www.3dprintronics.com/products/acro-acrylic-plate-set" TargetMode="External"/><Relationship Id="rId14" Type="http://schemas.openxmlformats.org/officeDocument/2006/relationships/hyperlink" Target="https://makerbazar.in/products/concrete-iron-nails?variant=44871802716400" TargetMode="External"/><Relationship Id="rId15" Type="http://schemas.openxmlformats.org/officeDocument/2006/relationships/hyperlink" Target="https://www.3dprintronics.com/fasteners" TargetMode="External"/><Relationship Id="rId16" Type="http://schemas.openxmlformats.org/officeDocument/2006/relationships/hyperlink" Target="https://rees52.com/products/makerbase-mks-dlc32-v2-1-offline-controller-board-for-standalone-3d-printer-cnc-board?selling_plan=2556362919&amp;variant=47709331161255" TargetMode="External"/><Relationship Id="rId17" Type="http://schemas.openxmlformats.org/officeDocument/2006/relationships/hyperlink" Target="https://makerbazar.in/products/drv8825-stepper-motor-driver-with-aluminum-heat-sink?variant=45989819384048" TargetMode="External"/><Relationship Id="rId18" Type="http://schemas.openxmlformats.org/officeDocument/2006/relationships/hyperlink" Target="https://www.3dprintronics.com/products/original-meanwell-psu-lrs-150-24" TargetMode="External"/><Relationship Id="rId19" Type="http://schemas.openxmlformats.org/officeDocument/2006/relationships/hyperlink" Target="https://makerbazar.in/products/xl6009-dc-dc-adjustable-boost-buck-step-up-step-down-converter-module?variant=49621760803056" TargetMode="External"/><Relationship Id="rId20" Type="http://schemas.openxmlformats.org/officeDocument/2006/relationships/hyperlink" Target="https://makerbazar.in/products/small-servo-plastic-gear-svg90s?variant=45449411395824" TargetMode="External"/><Relationship Id="rId21" Type="http://schemas.openxmlformats.org/officeDocument/2006/relationships/hyperlink" Target="https://makerbazar.in/products/automation-direct-limit-switch?variant=46931163742448" TargetMode="External"/><Relationship Id="rId22" Type="http://schemas.openxmlformats.org/officeDocument/2006/relationships/hyperlink" Target="https://makerbazar.in/products/230pcs-jst-xh-2-54mm-terminal-connectors-kit?variant=44076187353328" TargetMode="External"/><Relationship Id="rId23" Type="http://schemas.openxmlformats.org/officeDocument/2006/relationships/hyperlink" Target="https://makerbazar.in/products/multifunctional-wire-stripper-tool?variant=48854082224368" TargetMode="External"/><Relationship Id="rId24" Type="http://schemas.openxmlformats.org/officeDocument/2006/relationships/hyperlink" Target="https://rees52.com/products/22-awg-hookup-wire-kit-600v-pre-tinned-solid-core-copper-wire-6-assorted-colors-10-meters-each-for-electronics-and-diy-projects-solid-rs3858?variant=45173813280935&amp;country=IN&amp;currency=INR" TargetMode="External"/><Relationship Id="rId25" Type="http://schemas.openxmlformats.org/officeDocument/2006/relationships/hyperlink" Target="https://makerbazar.in/products/gi-flexible-electrical-conduit-pipe?variant=49720866930928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6" min="5" style="0" width="16"/>
    <col collapsed="false" customWidth="true" hidden="false" outlineLevel="0" max="7" min="7" style="0" width="15"/>
    <col collapsed="false" customWidth="true" hidden="false" outlineLevel="0" max="8" min="8" style="0" width="4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3" t="s">
        <v>9</v>
      </c>
      <c r="C2" s="3" t="s">
        <v>10</v>
      </c>
      <c r="D2" s="4" t="s">
        <v>11</v>
      </c>
      <c r="E2" s="5" t="n">
        <v>450</v>
      </c>
      <c r="F2" s="5" t="n">
        <v>1350</v>
      </c>
      <c r="G2" s="6" t="n">
        <f aca="false">F2/95.8652148322543</f>
        <v>14.0822716807368</v>
      </c>
      <c r="H2" s="7" t="s">
        <v>12</v>
      </c>
    </row>
    <row r="3" customFormat="false" ht="15" hidden="false" customHeight="false" outlineLevel="0" collapsed="false">
      <c r="A3" s="2"/>
      <c r="B3" s="3" t="s">
        <v>13</v>
      </c>
      <c r="C3" s="3" t="s">
        <v>14</v>
      </c>
      <c r="D3" s="4" t="s">
        <v>15</v>
      </c>
      <c r="E3" s="5" t="n">
        <v>2619.6</v>
      </c>
      <c r="F3" s="5" t="n">
        <v>2619.6</v>
      </c>
      <c r="G3" s="6" t="n">
        <f aca="false">F3/95.8652148322543</f>
        <v>27.325865848043</v>
      </c>
      <c r="H3" s="7" t="s">
        <v>16</v>
      </c>
    </row>
    <row r="4" customFormat="false" ht="15" hidden="false" customHeight="false" outlineLevel="0" collapsed="false">
      <c r="A4" s="2"/>
      <c r="B4" s="3" t="s">
        <v>17</v>
      </c>
      <c r="C4" s="3" t="s">
        <v>18</v>
      </c>
      <c r="D4" s="4" t="s">
        <v>19</v>
      </c>
      <c r="E4" s="5" t="n">
        <v>390</v>
      </c>
      <c r="F4" s="5" t="n">
        <v>390</v>
      </c>
      <c r="G4" s="6" t="n">
        <f aca="false">F4/95.8652148322543</f>
        <v>4.06821181887951</v>
      </c>
      <c r="H4" s="7" t="s">
        <v>20</v>
      </c>
    </row>
    <row r="5" customFormat="false" ht="15" hidden="false" customHeight="false" outlineLevel="0" collapsed="false">
      <c r="A5" s="2"/>
      <c r="B5" s="3" t="s">
        <v>21</v>
      </c>
      <c r="C5" s="3" t="s">
        <v>22</v>
      </c>
      <c r="D5" s="4" t="s">
        <v>23</v>
      </c>
      <c r="E5" s="5" t="n">
        <v>85</v>
      </c>
      <c r="F5" s="5" t="n">
        <v>170</v>
      </c>
      <c r="G5" s="6" t="n">
        <f aca="false">F5/95.8652148322543</f>
        <v>1.77332310053722</v>
      </c>
      <c r="H5" s="7" t="s">
        <v>24</v>
      </c>
    </row>
    <row r="6" customFormat="false" ht="15" hidden="false" customHeight="false" outlineLevel="0" collapsed="false">
      <c r="A6" s="8" t="s">
        <v>25</v>
      </c>
      <c r="B6" s="9" t="s">
        <v>26</v>
      </c>
      <c r="C6" s="9" t="s">
        <v>27</v>
      </c>
      <c r="D6" s="10" t="s">
        <v>19</v>
      </c>
      <c r="E6" s="11" t="n">
        <v>731.6</v>
      </c>
      <c r="F6" s="11" t="n">
        <v>731.6</v>
      </c>
      <c r="G6" s="12" t="n">
        <f aca="false">F6/95.8652148322543</f>
        <v>7.63154811972372</v>
      </c>
      <c r="H6" s="13" t="s">
        <v>28</v>
      </c>
    </row>
    <row r="7" customFormat="false" ht="15" hidden="false" customHeight="false" outlineLevel="0" collapsed="false">
      <c r="A7" s="8"/>
      <c r="B7" s="9" t="s">
        <v>26</v>
      </c>
      <c r="C7" s="9" t="s">
        <v>29</v>
      </c>
      <c r="D7" s="10" t="s">
        <v>23</v>
      </c>
      <c r="E7" s="11" t="n">
        <v>2053.2</v>
      </c>
      <c r="F7" s="11" t="n">
        <v>2053.2</v>
      </c>
      <c r="G7" s="12" t="n">
        <f aca="false">F7/95.8652148322543</f>
        <v>21.4175705295472</v>
      </c>
      <c r="H7" s="13" t="s">
        <v>28</v>
      </c>
    </row>
    <row r="8" customFormat="false" ht="15" hidden="false" customHeight="false" outlineLevel="0" collapsed="false">
      <c r="A8" s="8"/>
      <c r="B8" s="9" t="s">
        <v>30</v>
      </c>
      <c r="C8" s="9" t="s">
        <v>27</v>
      </c>
      <c r="D8" s="10" t="s">
        <v>23</v>
      </c>
      <c r="E8" s="11" t="n">
        <v>849.6</v>
      </c>
      <c r="F8" s="11" t="n">
        <v>849.6</v>
      </c>
      <c r="G8" s="12" t="n">
        <f aca="false">F8/95.8652148322543</f>
        <v>8.86244297774367</v>
      </c>
      <c r="H8" s="13" t="s">
        <v>31</v>
      </c>
    </row>
    <row r="9" customFormat="false" ht="15" hidden="false" customHeight="false" outlineLevel="0" collapsed="false">
      <c r="A9" s="8"/>
      <c r="B9" s="9" t="s">
        <v>32</v>
      </c>
      <c r="C9" s="9" t="s">
        <v>33</v>
      </c>
      <c r="D9" s="10" t="s">
        <v>34</v>
      </c>
      <c r="E9" s="11" t="n">
        <v>700.9</v>
      </c>
      <c r="F9" s="11" t="n">
        <v>700.9</v>
      </c>
      <c r="G9" s="12" t="n">
        <f aca="false">F9/95.8652148322543</f>
        <v>7.31130683039141</v>
      </c>
      <c r="H9" s="13" t="s">
        <v>35</v>
      </c>
    </row>
    <row r="10" customFormat="false" ht="15" hidden="false" customHeight="false" outlineLevel="0" collapsed="false">
      <c r="A10" s="2" t="s">
        <v>36</v>
      </c>
      <c r="B10" s="3" t="s">
        <v>37</v>
      </c>
      <c r="C10" s="3" t="s">
        <v>38</v>
      </c>
      <c r="D10" s="4" t="s">
        <v>19</v>
      </c>
      <c r="E10" s="5" t="n">
        <v>240</v>
      </c>
      <c r="F10" s="5" t="n">
        <v>240</v>
      </c>
      <c r="G10" s="6" t="n">
        <f aca="false">F10/95.8652148322543</f>
        <v>2.50351496546431</v>
      </c>
      <c r="H10" s="3"/>
    </row>
    <row r="11" customFormat="false" ht="15" hidden="false" customHeight="false" outlineLevel="0" collapsed="false">
      <c r="A11" s="2"/>
      <c r="B11" s="3" t="s">
        <v>37</v>
      </c>
      <c r="C11" s="3" t="s">
        <v>39</v>
      </c>
      <c r="D11" s="4" t="s">
        <v>11</v>
      </c>
      <c r="E11" s="5" t="n">
        <v>240</v>
      </c>
      <c r="F11" s="5" t="n">
        <v>240</v>
      </c>
      <c r="G11" s="6" t="n">
        <f aca="false">F11/95.8652148322543</f>
        <v>2.50351496546431</v>
      </c>
      <c r="H11" s="3"/>
    </row>
    <row r="12" customFormat="false" ht="15" hidden="false" customHeight="false" outlineLevel="0" collapsed="false">
      <c r="A12" s="2"/>
      <c r="B12" s="3" t="s">
        <v>37</v>
      </c>
      <c r="C12" s="3" t="s">
        <v>40</v>
      </c>
      <c r="D12" s="4" t="s">
        <v>34</v>
      </c>
      <c r="E12" s="5" t="n">
        <v>200</v>
      </c>
      <c r="F12" s="5" t="n">
        <v>200</v>
      </c>
      <c r="G12" s="6" t="n">
        <f aca="false">F12/95.8652148322543</f>
        <v>2.08626247122026</v>
      </c>
      <c r="H12" s="3"/>
    </row>
    <row r="13" customFormat="false" ht="15" hidden="false" customHeight="false" outlineLevel="0" collapsed="false">
      <c r="A13" s="2"/>
      <c r="B13" s="3" t="s">
        <v>37</v>
      </c>
      <c r="C13" s="3" t="s">
        <v>41</v>
      </c>
      <c r="D13" s="4" t="s">
        <v>15</v>
      </c>
      <c r="E13" s="5" t="n">
        <v>216</v>
      </c>
      <c r="F13" s="5" t="n">
        <v>216</v>
      </c>
      <c r="G13" s="6" t="n">
        <f aca="false">F13/95.8652148322543</f>
        <v>2.25316346891788</v>
      </c>
      <c r="H13" s="3"/>
    </row>
    <row r="14" customFormat="false" ht="15" hidden="false" customHeight="false" outlineLevel="0" collapsed="false">
      <c r="A14" s="2"/>
      <c r="B14" s="3" t="s">
        <v>37</v>
      </c>
      <c r="C14" s="3" t="s">
        <v>42</v>
      </c>
      <c r="D14" s="4" t="s">
        <v>43</v>
      </c>
      <c r="E14" s="5" t="n">
        <v>275</v>
      </c>
      <c r="F14" s="5" t="n">
        <v>275</v>
      </c>
      <c r="G14" s="6" t="n">
        <f aca="false">F14/95.8652148322543</f>
        <v>2.86861089792786</v>
      </c>
      <c r="H14" s="3"/>
    </row>
    <row r="15" customFormat="false" ht="15" hidden="false" customHeight="false" outlineLevel="0" collapsed="false">
      <c r="A15" s="2"/>
      <c r="B15" s="3" t="s">
        <v>37</v>
      </c>
      <c r="C15" s="3" t="s">
        <v>44</v>
      </c>
      <c r="D15" s="4" t="s">
        <v>11</v>
      </c>
      <c r="E15" s="5" t="n">
        <v>275</v>
      </c>
      <c r="F15" s="5" t="n">
        <v>275</v>
      </c>
      <c r="G15" s="6" t="n">
        <f aca="false">F15/95.8652148322543</f>
        <v>2.86861089792786</v>
      </c>
      <c r="H15" s="3"/>
    </row>
    <row r="16" customFormat="false" ht="15" hidden="false" customHeight="false" outlineLevel="0" collapsed="false">
      <c r="A16" s="2"/>
      <c r="B16" s="3" t="s">
        <v>37</v>
      </c>
      <c r="C16" s="3" t="s">
        <v>45</v>
      </c>
      <c r="D16" s="4" t="s">
        <v>46</v>
      </c>
      <c r="E16" s="5" t="n">
        <v>750</v>
      </c>
      <c r="F16" s="5" t="n">
        <v>750</v>
      </c>
      <c r="G16" s="6" t="n">
        <f aca="false">F16/95.8652148322543</f>
        <v>7.82348426707598</v>
      </c>
      <c r="H16" s="3"/>
    </row>
    <row r="17" customFormat="false" ht="15" hidden="false" customHeight="false" outlineLevel="0" collapsed="false">
      <c r="A17" s="2"/>
      <c r="B17" s="3" t="s">
        <v>47</v>
      </c>
      <c r="C17" s="3" t="s">
        <v>48</v>
      </c>
      <c r="D17" s="4" t="s">
        <v>49</v>
      </c>
      <c r="E17" s="5" t="n">
        <v>66.08</v>
      </c>
      <c r="F17" s="5" t="n">
        <v>66.08</v>
      </c>
      <c r="G17" s="6" t="n">
        <f aca="false">F17/95.8652148322543</f>
        <v>0.689301120491174</v>
      </c>
      <c r="H17" s="3"/>
    </row>
    <row r="18" customFormat="false" ht="15" hidden="false" customHeight="false" outlineLevel="0" collapsed="false">
      <c r="A18" s="2"/>
      <c r="B18" s="3" t="s">
        <v>50</v>
      </c>
      <c r="C18" s="3" t="s">
        <v>48</v>
      </c>
      <c r="D18" s="4" t="s">
        <v>51</v>
      </c>
      <c r="E18" s="5" t="n">
        <v>429.52</v>
      </c>
      <c r="F18" s="5" t="n">
        <v>429.52</v>
      </c>
      <c r="G18" s="6" t="n">
        <f aca="false">F18/95.8652148322543</f>
        <v>4.48045728319263</v>
      </c>
      <c r="H18" s="3"/>
    </row>
    <row r="19" customFormat="false" ht="15" hidden="false" customHeight="false" outlineLevel="0" collapsed="false">
      <c r="A19" s="2"/>
      <c r="B19" s="3" t="s">
        <v>52</v>
      </c>
      <c r="C19" s="3" t="s">
        <v>48</v>
      </c>
      <c r="D19" s="4" t="s">
        <v>53</v>
      </c>
      <c r="E19" s="5" t="n">
        <v>612</v>
      </c>
      <c r="F19" s="5" t="n">
        <v>612</v>
      </c>
      <c r="G19" s="6" t="n">
        <f aca="false">F19/95.8652148322543</f>
        <v>6.383963161934</v>
      </c>
      <c r="H19" s="7" t="s">
        <v>54</v>
      </c>
    </row>
    <row r="20" customFormat="false" ht="15" hidden="false" customHeight="false" outlineLevel="0" collapsed="false">
      <c r="A20" s="8" t="s">
        <v>55</v>
      </c>
      <c r="B20" s="9" t="s">
        <v>56</v>
      </c>
      <c r="C20" s="9" t="s">
        <v>57</v>
      </c>
      <c r="D20" s="10" t="s">
        <v>23</v>
      </c>
      <c r="E20" s="11" t="n">
        <v>140</v>
      </c>
      <c r="F20" s="11" t="n">
        <v>140</v>
      </c>
      <c r="G20" s="12" t="n">
        <f aca="false">F20/95.8652148322543</f>
        <v>1.46038372985418</v>
      </c>
      <c r="H20" s="9"/>
    </row>
    <row r="21" customFormat="false" ht="15" hidden="false" customHeight="false" outlineLevel="0" collapsed="false">
      <c r="A21" s="8"/>
      <c r="B21" s="9" t="s">
        <v>56</v>
      </c>
      <c r="C21" s="9" t="s">
        <v>58</v>
      </c>
      <c r="D21" s="10" t="s">
        <v>15</v>
      </c>
      <c r="E21" s="11" t="n">
        <v>120</v>
      </c>
      <c r="F21" s="11" t="n">
        <v>120</v>
      </c>
      <c r="G21" s="12" t="n">
        <f aca="false">F21/95.8652148322543</f>
        <v>1.25175748273216</v>
      </c>
      <c r="H21" s="9"/>
    </row>
    <row r="22" customFormat="false" ht="15" hidden="false" customHeight="false" outlineLevel="0" collapsed="false">
      <c r="A22" s="8"/>
      <c r="B22" s="9" t="s">
        <v>59</v>
      </c>
      <c r="C22" s="9" t="s">
        <v>60</v>
      </c>
      <c r="D22" s="10" t="s">
        <v>23</v>
      </c>
      <c r="E22" s="11" t="n">
        <v>143</v>
      </c>
      <c r="F22" s="11" t="n">
        <v>143</v>
      </c>
      <c r="G22" s="12" t="n">
        <f aca="false">F22/95.8652148322543</f>
        <v>1.49167766692249</v>
      </c>
      <c r="H22" s="13" t="s">
        <v>61</v>
      </c>
    </row>
    <row r="23" customFormat="false" ht="15" hidden="false" customHeight="false" outlineLevel="0" collapsed="false">
      <c r="A23" s="8"/>
      <c r="B23" s="9" t="s">
        <v>52</v>
      </c>
      <c r="C23" s="9" t="s">
        <v>60</v>
      </c>
      <c r="D23" s="10" t="s">
        <v>23</v>
      </c>
      <c r="E23" s="11" t="n">
        <v>180</v>
      </c>
      <c r="F23" s="11" t="n">
        <v>360</v>
      </c>
      <c r="G23" s="12" t="n">
        <f aca="false">F23/95.8652148322543</f>
        <v>3.75527244819647</v>
      </c>
      <c r="H23" s="13" t="s">
        <v>54</v>
      </c>
    </row>
    <row r="24" customFormat="false" ht="15" hidden="false" customHeight="false" outlineLevel="0" collapsed="false">
      <c r="A24" s="2" t="s">
        <v>62</v>
      </c>
      <c r="B24" s="3" t="s">
        <v>56</v>
      </c>
      <c r="C24" s="3" t="s">
        <v>63</v>
      </c>
      <c r="D24" s="4" t="s">
        <v>23</v>
      </c>
      <c r="E24" s="5" t="n">
        <v>141.6</v>
      </c>
      <c r="F24" s="5" t="n">
        <v>141.6</v>
      </c>
      <c r="G24" s="6" t="n">
        <f aca="false">F24/95.8652148322543</f>
        <v>1.47707382962394</v>
      </c>
      <c r="H24" s="3"/>
    </row>
    <row r="25" customFormat="false" ht="15" hidden="false" customHeight="false" outlineLevel="0" collapsed="false">
      <c r="A25" s="8" t="s">
        <v>64</v>
      </c>
      <c r="B25" s="9" t="s">
        <v>56</v>
      </c>
      <c r="C25" s="9" t="s">
        <v>65</v>
      </c>
      <c r="D25" s="10" t="s">
        <v>43</v>
      </c>
      <c r="E25" s="11" t="n">
        <v>129</v>
      </c>
      <c r="F25" s="11" t="n">
        <v>129</v>
      </c>
      <c r="G25" s="12" t="n">
        <f aca="false">F25/95.8652148322543</f>
        <v>1.34563929393707</v>
      </c>
      <c r="H25" s="9"/>
    </row>
    <row r="26" customFormat="false" ht="15" hidden="false" customHeight="false" outlineLevel="0" collapsed="false">
      <c r="A26" s="2" t="s">
        <v>66</v>
      </c>
      <c r="B26" s="3" t="s">
        <v>67</v>
      </c>
      <c r="C26" s="3" t="s">
        <v>68</v>
      </c>
      <c r="D26" s="4" t="s">
        <v>49</v>
      </c>
      <c r="E26" s="5" t="n">
        <v>283.2</v>
      </c>
      <c r="F26" s="5" t="n">
        <v>283.2</v>
      </c>
      <c r="G26" s="6" t="n">
        <f aca="false">F26/95.8652148322543</f>
        <v>2.95414765924789</v>
      </c>
      <c r="H26" s="7" t="s">
        <v>69</v>
      </c>
    </row>
    <row r="27" customFormat="false" ht="15" hidden="false" customHeight="false" outlineLevel="0" collapsed="false">
      <c r="A27" s="8" t="s">
        <v>70</v>
      </c>
      <c r="B27" s="9" t="s">
        <v>71</v>
      </c>
      <c r="C27" s="9"/>
      <c r="D27" s="10" t="s">
        <v>43</v>
      </c>
      <c r="E27" s="11" t="n">
        <v>0</v>
      </c>
      <c r="F27" s="11" t="n">
        <v>0</v>
      </c>
      <c r="G27" s="12" t="n">
        <f aca="false">F27/95.8652148322543</f>
        <v>0</v>
      </c>
      <c r="H27" s="9"/>
    </row>
    <row r="28" customFormat="false" ht="15" hidden="false" customHeight="false" outlineLevel="0" collapsed="false">
      <c r="A28" s="8"/>
      <c r="B28" s="9" t="s">
        <v>72</v>
      </c>
      <c r="C28" s="9"/>
      <c r="D28" s="10" t="s">
        <v>23</v>
      </c>
      <c r="E28" s="11" t="n">
        <v>0</v>
      </c>
      <c r="F28" s="11" t="n">
        <v>0</v>
      </c>
      <c r="G28" s="12" t="n">
        <f aca="false">F28/95.8652148322543</f>
        <v>0</v>
      </c>
      <c r="H28" s="9"/>
    </row>
    <row r="29" customFormat="false" ht="15" hidden="false" customHeight="false" outlineLevel="0" collapsed="false">
      <c r="A29" s="8"/>
      <c r="B29" s="9" t="s">
        <v>73</v>
      </c>
      <c r="C29" s="9"/>
      <c r="D29" s="10" t="s">
        <v>19</v>
      </c>
      <c r="E29" s="11" t="n">
        <v>0</v>
      </c>
      <c r="F29" s="11" t="n">
        <v>0</v>
      </c>
      <c r="G29" s="12" t="n">
        <f aca="false">F29/95.8652148322543</f>
        <v>0</v>
      </c>
      <c r="H29" s="9"/>
    </row>
    <row r="30" customFormat="false" ht="15" hidden="false" customHeight="false" outlineLevel="0" collapsed="false">
      <c r="A30" s="8"/>
      <c r="B30" s="9" t="s">
        <v>74</v>
      </c>
      <c r="C30" s="9"/>
      <c r="D30" s="10" t="s">
        <v>19</v>
      </c>
      <c r="E30" s="11" t="n">
        <v>0</v>
      </c>
      <c r="F30" s="11" t="n">
        <v>0</v>
      </c>
      <c r="G30" s="12" t="n">
        <f aca="false">F30/95.8652148322543</f>
        <v>0</v>
      </c>
      <c r="H30" s="9"/>
    </row>
    <row r="31" customFormat="false" ht="15" hidden="false" customHeight="false" outlineLevel="0" collapsed="false">
      <c r="A31" s="8"/>
      <c r="B31" s="9" t="s">
        <v>75</v>
      </c>
      <c r="C31" s="9"/>
      <c r="D31" s="10" t="s">
        <v>19</v>
      </c>
      <c r="E31" s="11" t="n">
        <v>0</v>
      </c>
      <c r="F31" s="11" t="n">
        <v>0</v>
      </c>
      <c r="G31" s="12" t="n">
        <f aca="false">F31/95.8652148322543</f>
        <v>0</v>
      </c>
      <c r="H31" s="9"/>
    </row>
    <row r="32" customFormat="false" ht="15" hidden="false" customHeight="false" outlineLevel="0" collapsed="false">
      <c r="A32" s="2" t="s">
        <v>76</v>
      </c>
      <c r="B32" s="3" t="s">
        <v>77</v>
      </c>
      <c r="C32" s="3"/>
      <c r="D32" s="4" t="s">
        <v>19</v>
      </c>
      <c r="E32" s="5" t="n">
        <v>1480</v>
      </c>
      <c r="F32" s="5" t="n">
        <v>1480</v>
      </c>
      <c r="G32" s="6" t="n">
        <f aca="false">F32/95.8652148322543</f>
        <v>15.4383422870299</v>
      </c>
      <c r="H32" s="7" t="s">
        <v>78</v>
      </c>
    </row>
    <row r="33" customFormat="false" ht="15" hidden="false" customHeight="false" outlineLevel="0" collapsed="false">
      <c r="A33" s="8" t="s">
        <v>79</v>
      </c>
      <c r="B33" s="9" t="s">
        <v>80</v>
      </c>
      <c r="C33" s="9" t="s">
        <v>81</v>
      </c>
      <c r="D33" s="10" t="s">
        <v>23</v>
      </c>
      <c r="E33" s="11" t="n">
        <v>19</v>
      </c>
      <c r="F33" s="11" t="n">
        <v>38</v>
      </c>
      <c r="G33" s="12" t="n">
        <f aca="false">F33/95.8652148322543</f>
        <v>0.39638986953185</v>
      </c>
      <c r="H33" s="13" t="s">
        <v>82</v>
      </c>
    </row>
    <row r="34" customFormat="false" ht="15" hidden="false" customHeight="false" outlineLevel="0" collapsed="false">
      <c r="A34" s="8"/>
      <c r="B34" s="9" t="s">
        <v>83</v>
      </c>
      <c r="C34" s="9" t="s">
        <v>84</v>
      </c>
      <c r="D34" s="10" t="s">
        <v>23</v>
      </c>
      <c r="E34" s="11" t="n">
        <v>0</v>
      </c>
      <c r="F34" s="11" t="n">
        <v>0</v>
      </c>
      <c r="G34" s="12" t="n">
        <f aca="false">F34/95.8652148322543</f>
        <v>0</v>
      </c>
      <c r="H34" s="9"/>
    </row>
    <row r="35" customFormat="false" ht="15" hidden="false" customHeight="false" outlineLevel="0" collapsed="false">
      <c r="A35" s="8"/>
      <c r="B35" s="9" t="s">
        <v>85</v>
      </c>
      <c r="C35" s="9" t="s">
        <v>48</v>
      </c>
      <c r="D35" s="10" t="s">
        <v>19</v>
      </c>
      <c r="E35" s="11" t="n">
        <v>135.7</v>
      </c>
      <c r="F35" s="11" t="n">
        <v>135.7</v>
      </c>
      <c r="G35" s="12" t="n">
        <f aca="false">F35/95.8652148322543</f>
        <v>1.41552908672295</v>
      </c>
      <c r="H35" s="13" t="s">
        <v>69</v>
      </c>
    </row>
    <row r="36" customFormat="false" ht="15" hidden="false" customHeight="false" outlineLevel="0" collapsed="false">
      <c r="A36" s="2" t="s">
        <v>86</v>
      </c>
      <c r="B36" s="3" t="s">
        <v>87</v>
      </c>
      <c r="C36" s="3"/>
      <c r="D36" s="4" t="s">
        <v>19</v>
      </c>
      <c r="E36" s="5" t="n">
        <v>1999</v>
      </c>
      <c r="F36" s="5" t="n">
        <v>1999</v>
      </c>
      <c r="G36" s="6" t="n">
        <f aca="false">F36/95.8652148322543</f>
        <v>20.8521933998465</v>
      </c>
      <c r="H36" s="7" t="s">
        <v>88</v>
      </c>
    </row>
    <row r="37" customFormat="false" ht="15" hidden="false" customHeight="false" outlineLevel="0" collapsed="false">
      <c r="A37" s="2"/>
      <c r="B37" s="3" t="s">
        <v>89</v>
      </c>
      <c r="C37" s="3"/>
      <c r="D37" s="4" t="s">
        <v>11</v>
      </c>
      <c r="E37" s="5" t="n">
        <v>99</v>
      </c>
      <c r="F37" s="5" t="n">
        <v>297</v>
      </c>
      <c r="G37" s="6" t="n">
        <f aca="false">F37/95.8652148322543</f>
        <v>3.09809976976209</v>
      </c>
      <c r="H37" s="7" t="s">
        <v>90</v>
      </c>
    </row>
    <row r="38" customFormat="false" ht="15" hidden="false" customHeight="false" outlineLevel="0" collapsed="false">
      <c r="A38" s="2"/>
      <c r="B38" s="3" t="s">
        <v>91</v>
      </c>
      <c r="C38" s="3"/>
      <c r="D38" s="4" t="s">
        <v>19</v>
      </c>
      <c r="E38" s="5" t="n">
        <v>1749</v>
      </c>
      <c r="F38" s="5" t="n">
        <v>1749</v>
      </c>
      <c r="G38" s="6" t="n">
        <f aca="false">F38/95.8652148322543</f>
        <v>18.2443653108212</v>
      </c>
      <c r="H38" s="7" t="s">
        <v>92</v>
      </c>
    </row>
    <row r="39" customFormat="false" ht="15" hidden="false" customHeight="false" outlineLevel="0" collapsed="false">
      <c r="A39" s="2"/>
      <c r="B39" s="3" t="s">
        <v>93</v>
      </c>
      <c r="C39" s="3"/>
      <c r="D39" s="4" t="s">
        <v>19</v>
      </c>
      <c r="E39" s="5" t="n">
        <v>65</v>
      </c>
      <c r="F39" s="5" t="n">
        <v>65</v>
      </c>
      <c r="G39" s="6" t="n">
        <f aca="false">F39/95.8652148322543</f>
        <v>0.678035303146585</v>
      </c>
      <c r="H39" s="7" t="s">
        <v>94</v>
      </c>
    </row>
    <row r="40" customFormat="false" ht="15" hidden="false" customHeight="false" outlineLevel="0" collapsed="false">
      <c r="A40" s="2"/>
      <c r="B40" s="3" t="s">
        <v>95</v>
      </c>
      <c r="C40" s="3"/>
      <c r="D40" s="4" t="s">
        <v>19</v>
      </c>
      <c r="E40" s="5" t="n">
        <v>99</v>
      </c>
      <c r="F40" s="5" t="n">
        <v>99</v>
      </c>
      <c r="G40" s="6" t="n">
        <f aca="false">F40/95.8652148322543</f>
        <v>1.03269992325403</v>
      </c>
      <c r="H40" s="7" t="s">
        <v>96</v>
      </c>
    </row>
    <row r="41" customFormat="false" ht="15" hidden="false" customHeight="false" outlineLevel="0" collapsed="false">
      <c r="A41" s="2"/>
      <c r="B41" s="3" t="s">
        <v>97</v>
      </c>
      <c r="C41" s="3"/>
      <c r="D41" s="4" t="s">
        <v>23</v>
      </c>
      <c r="E41" s="5" t="n">
        <v>14</v>
      </c>
      <c r="F41" s="5" t="n">
        <v>28</v>
      </c>
      <c r="G41" s="6" t="n">
        <f aca="false">F41/95.8652148322543</f>
        <v>0.292076745970837</v>
      </c>
      <c r="H41" s="7" t="s">
        <v>98</v>
      </c>
    </row>
    <row r="42" customFormat="false" ht="15" hidden="false" customHeight="false" outlineLevel="0" collapsed="false">
      <c r="A42" s="8" t="s">
        <v>99</v>
      </c>
      <c r="B42" s="9" t="s">
        <v>100</v>
      </c>
      <c r="C42" s="9" t="s">
        <v>101</v>
      </c>
      <c r="D42" s="10" t="s">
        <v>19</v>
      </c>
      <c r="E42" s="11" t="n">
        <v>0</v>
      </c>
      <c r="F42" s="11" t="n">
        <v>0</v>
      </c>
      <c r="G42" s="12" t="n">
        <f aca="false">F42/95.8652148322543</f>
        <v>0</v>
      </c>
      <c r="H42" s="13" t="s">
        <v>102</v>
      </c>
    </row>
    <row r="43" customFormat="false" ht="15" hidden="false" customHeight="false" outlineLevel="0" collapsed="false">
      <c r="A43" s="8"/>
      <c r="B43" s="9" t="s">
        <v>103</v>
      </c>
      <c r="C43" s="9" t="s">
        <v>104</v>
      </c>
      <c r="D43" s="10" t="s">
        <v>19</v>
      </c>
      <c r="E43" s="11" t="n">
        <v>0</v>
      </c>
      <c r="F43" s="11" t="n">
        <v>0</v>
      </c>
      <c r="G43" s="12" t="n">
        <f aca="false">F43/95.8652148322543</f>
        <v>0</v>
      </c>
      <c r="H43" s="13" t="s">
        <v>105</v>
      </c>
    </row>
    <row r="44" customFormat="false" ht="15" hidden="false" customHeight="false" outlineLevel="0" collapsed="false">
      <c r="A44" s="8"/>
      <c r="B44" s="9" t="s">
        <v>106</v>
      </c>
      <c r="C44" s="9" t="s">
        <v>107</v>
      </c>
      <c r="D44" s="10" t="s">
        <v>108</v>
      </c>
      <c r="E44" s="11" t="n">
        <v>0</v>
      </c>
      <c r="F44" s="11" t="n">
        <v>1150</v>
      </c>
      <c r="G44" s="12" t="n">
        <f aca="false">F44/95.8652148322543</f>
        <v>11.9960092095165</v>
      </c>
      <c r="H44" s="13" t="s">
        <v>109</v>
      </c>
    </row>
    <row r="45" customFormat="false" ht="15" hidden="false" customHeight="false" outlineLevel="0" collapsed="false">
      <c r="A45" s="8"/>
      <c r="B45" s="9" t="s">
        <v>106</v>
      </c>
      <c r="C45" s="9" t="s">
        <v>110</v>
      </c>
      <c r="D45" s="10" t="s">
        <v>11</v>
      </c>
      <c r="E45" s="11" t="n">
        <v>0</v>
      </c>
      <c r="F45" s="11" t="n">
        <v>0</v>
      </c>
      <c r="G45" s="12" t="n">
        <f aca="false">F45/95.8652148322543</f>
        <v>0</v>
      </c>
      <c r="H45" s="9"/>
    </row>
    <row r="46" customFormat="false" ht="15" hidden="false" customHeight="false" outlineLevel="0" collapsed="false">
      <c r="A46" s="8"/>
      <c r="B46" s="9" t="s">
        <v>106</v>
      </c>
      <c r="C46" s="9" t="s">
        <v>111</v>
      </c>
      <c r="D46" s="10" t="s">
        <v>11</v>
      </c>
      <c r="E46" s="11" t="n">
        <v>0</v>
      </c>
      <c r="F46" s="11" t="n">
        <v>0</v>
      </c>
      <c r="G46" s="12" t="n">
        <f aca="false">F46/95.8652148322543</f>
        <v>0</v>
      </c>
      <c r="H46" s="9"/>
    </row>
    <row r="47" customFormat="false" ht="15" hidden="false" customHeight="false" outlineLevel="0" collapsed="false">
      <c r="A47" s="8"/>
      <c r="B47" s="9" t="s">
        <v>106</v>
      </c>
      <c r="C47" s="9" t="s">
        <v>112</v>
      </c>
      <c r="D47" s="10" t="s">
        <v>19</v>
      </c>
      <c r="E47" s="11" t="n">
        <v>0</v>
      </c>
      <c r="F47" s="11" t="n">
        <v>0</v>
      </c>
      <c r="G47" s="12" t="n">
        <f aca="false">F47/95.8652148322543</f>
        <v>0</v>
      </c>
      <c r="H47" s="9"/>
    </row>
    <row r="48" customFormat="false" ht="15" hidden="false" customHeight="false" outlineLevel="0" collapsed="false">
      <c r="A48" s="8"/>
      <c r="B48" s="9" t="s">
        <v>106</v>
      </c>
      <c r="C48" s="9" t="s">
        <v>113</v>
      </c>
      <c r="D48" s="10" t="s">
        <v>11</v>
      </c>
      <c r="E48" s="11" t="n">
        <v>0</v>
      </c>
      <c r="F48" s="11" t="n">
        <v>0</v>
      </c>
      <c r="G48" s="12" t="n">
        <f aca="false">F48/95.8652148322543</f>
        <v>0</v>
      </c>
      <c r="H48" s="9"/>
    </row>
    <row r="49" customFormat="false" ht="15" hidden="false" customHeight="false" outlineLevel="0" collapsed="false">
      <c r="A49" s="2" t="s">
        <v>114</v>
      </c>
      <c r="B49" s="3" t="s">
        <v>115</v>
      </c>
      <c r="C49" s="3"/>
      <c r="D49" s="4" t="s">
        <v>19</v>
      </c>
      <c r="E49" s="5" t="n">
        <v>499</v>
      </c>
      <c r="F49" s="5" t="n">
        <v>499</v>
      </c>
      <c r="G49" s="6" t="n">
        <f aca="false">F49/95.8652148322543</f>
        <v>5.20522486569455</v>
      </c>
      <c r="H49" s="7" t="s">
        <v>116</v>
      </c>
    </row>
    <row r="51" customFormat="false" ht="15" hidden="false" customHeight="false" outlineLevel="0" collapsed="false">
      <c r="A51" s="14" t="s">
        <v>117</v>
      </c>
    </row>
    <row r="52" customFormat="false" ht="15" hidden="false" customHeight="false" outlineLevel="0" collapsed="false">
      <c r="A52" s="15" t="s">
        <v>8</v>
      </c>
      <c r="B52" s="16"/>
      <c r="C52" s="16"/>
      <c r="D52" s="16"/>
      <c r="E52" s="16"/>
      <c r="F52" s="17" t="n">
        <v>4529.6</v>
      </c>
      <c r="G52" s="18" t="n">
        <f aca="false">F52/95.8652148322543</f>
        <v>47.2496724481965</v>
      </c>
      <c r="H52" s="16"/>
    </row>
    <row r="53" customFormat="false" ht="15" hidden="false" customHeight="false" outlineLevel="0" collapsed="false">
      <c r="A53" s="15" t="s">
        <v>25</v>
      </c>
      <c r="B53" s="16"/>
      <c r="C53" s="16"/>
      <c r="D53" s="16"/>
      <c r="E53" s="16"/>
      <c r="F53" s="17" t="n">
        <v>4335.3</v>
      </c>
      <c r="G53" s="18" t="n">
        <f aca="false">F53/95.8652148322543</f>
        <v>45.222868457406</v>
      </c>
      <c r="H53" s="16"/>
    </row>
    <row r="54" customFormat="false" ht="15" hidden="false" customHeight="false" outlineLevel="0" collapsed="false">
      <c r="A54" s="15" t="s">
        <v>36</v>
      </c>
      <c r="B54" s="16"/>
      <c r="C54" s="16"/>
      <c r="D54" s="16"/>
      <c r="E54" s="16"/>
      <c r="F54" s="17" t="n">
        <v>3303.6</v>
      </c>
      <c r="G54" s="18" t="n">
        <f aca="false">F54/95.8652148322543</f>
        <v>34.4608834996163</v>
      </c>
      <c r="H54" s="16"/>
    </row>
    <row r="55" customFormat="false" ht="15" hidden="false" customHeight="false" outlineLevel="0" collapsed="false">
      <c r="A55" s="15" t="s">
        <v>55</v>
      </c>
      <c r="B55" s="16"/>
      <c r="C55" s="16"/>
      <c r="D55" s="16"/>
      <c r="E55" s="16"/>
      <c r="F55" s="17" t="n">
        <v>763</v>
      </c>
      <c r="G55" s="18" t="n">
        <f aca="false">F55/95.8652148322543</f>
        <v>7.9590913277053</v>
      </c>
      <c r="H55" s="16"/>
    </row>
    <row r="56" customFormat="false" ht="15" hidden="false" customHeight="false" outlineLevel="0" collapsed="false">
      <c r="A56" s="15" t="s">
        <v>62</v>
      </c>
      <c r="B56" s="16"/>
      <c r="C56" s="16"/>
      <c r="D56" s="16"/>
      <c r="E56" s="16"/>
      <c r="F56" s="17" t="n">
        <v>141.6</v>
      </c>
      <c r="G56" s="18" t="n">
        <f aca="false">F56/95.8652148322543</f>
        <v>1.47707382962394</v>
      </c>
      <c r="H56" s="16"/>
    </row>
    <row r="57" customFormat="false" ht="15" hidden="false" customHeight="false" outlineLevel="0" collapsed="false">
      <c r="A57" s="15" t="s">
        <v>64</v>
      </c>
      <c r="B57" s="16"/>
      <c r="C57" s="16"/>
      <c r="D57" s="16"/>
      <c r="E57" s="16"/>
      <c r="F57" s="17" t="n">
        <v>129</v>
      </c>
      <c r="G57" s="18" t="n">
        <f aca="false">F57/95.8652148322543</f>
        <v>1.34563929393707</v>
      </c>
      <c r="H57" s="16"/>
    </row>
    <row r="58" customFormat="false" ht="15" hidden="false" customHeight="false" outlineLevel="0" collapsed="false">
      <c r="A58" s="15" t="s">
        <v>66</v>
      </c>
      <c r="B58" s="16"/>
      <c r="C58" s="16"/>
      <c r="D58" s="16"/>
      <c r="E58" s="16"/>
      <c r="F58" s="17" t="n">
        <v>283.2</v>
      </c>
      <c r="G58" s="18" t="n">
        <f aca="false">F58/95.8652148322543</f>
        <v>2.95414765924789</v>
      </c>
      <c r="H58" s="16"/>
    </row>
    <row r="59" customFormat="false" ht="15" hidden="false" customHeight="false" outlineLevel="0" collapsed="false">
      <c r="A59" s="15" t="s">
        <v>70</v>
      </c>
      <c r="B59" s="16"/>
      <c r="C59" s="16"/>
      <c r="D59" s="16"/>
      <c r="E59" s="16"/>
      <c r="F59" s="17" t="n">
        <v>0</v>
      </c>
      <c r="G59" s="18" t="n">
        <f aca="false">F59/95.8652148322543</f>
        <v>0</v>
      </c>
      <c r="H59" s="16"/>
    </row>
    <row r="60" customFormat="false" ht="15" hidden="false" customHeight="false" outlineLevel="0" collapsed="false">
      <c r="A60" s="15" t="s">
        <v>76</v>
      </c>
      <c r="B60" s="16"/>
      <c r="C60" s="16"/>
      <c r="D60" s="16"/>
      <c r="E60" s="16"/>
      <c r="F60" s="17" t="n">
        <v>1480</v>
      </c>
      <c r="G60" s="18" t="n">
        <f aca="false">F60/95.8652148322543</f>
        <v>15.4383422870299</v>
      </c>
      <c r="H60" s="16"/>
    </row>
    <row r="61" customFormat="false" ht="15" hidden="false" customHeight="false" outlineLevel="0" collapsed="false">
      <c r="A61" s="15" t="s">
        <v>79</v>
      </c>
      <c r="B61" s="16"/>
      <c r="C61" s="16"/>
      <c r="D61" s="16"/>
      <c r="E61" s="16"/>
      <c r="F61" s="17" t="n">
        <v>173.7</v>
      </c>
      <c r="G61" s="18" t="n">
        <f aca="false">F61/95.8652148322543</f>
        <v>1.8119189562548</v>
      </c>
      <c r="H61" s="16"/>
    </row>
    <row r="62" customFormat="false" ht="15" hidden="false" customHeight="false" outlineLevel="0" collapsed="false">
      <c r="A62" s="15" t="s">
        <v>86</v>
      </c>
      <c r="B62" s="16"/>
      <c r="C62" s="16"/>
      <c r="D62" s="16"/>
      <c r="E62" s="16"/>
      <c r="F62" s="17" t="n">
        <v>4237</v>
      </c>
      <c r="G62" s="18" t="n">
        <f aca="false">F62/95.8652148322543</f>
        <v>44.1974704528012</v>
      </c>
      <c r="H62" s="16"/>
    </row>
    <row r="63" customFormat="false" ht="15" hidden="false" customHeight="false" outlineLevel="0" collapsed="false">
      <c r="A63" s="15" t="s">
        <v>99</v>
      </c>
      <c r="B63" s="16"/>
      <c r="C63" s="16"/>
      <c r="D63" s="16"/>
      <c r="E63" s="16"/>
      <c r="F63" s="17" t="n">
        <v>1150</v>
      </c>
      <c r="G63" s="18" t="n">
        <f aca="false">F63/95.8652148322543</f>
        <v>11.9960092095165</v>
      </c>
      <c r="H63" s="16"/>
    </row>
    <row r="64" customFormat="false" ht="15" hidden="false" customHeight="false" outlineLevel="0" collapsed="false">
      <c r="A64" s="15" t="s">
        <v>114</v>
      </c>
      <c r="B64" s="16"/>
      <c r="C64" s="16"/>
      <c r="D64" s="16"/>
      <c r="E64" s="16"/>
      <c r="F64" s="17" t="n">
        <v>499</v>
      </c>
      <c r="G64" s="18" t="n">
        <f aca="false">F64/95.8652148322543</f>
        <v>5.20522486569455</v>
      </c>
      <c r="H64" s="16"/>
    </row>
    <row r="65" customFormat="false" ht="15" hidden="false" customHeight="false" outlineLevel="0" collapsed="false">
      <c r="A65" s="19" t="s">
        <v>118</v>
      </c>
      <c r="B65" s="19"/>
      <c r="C65" s="19"/>
      <c r="D65" s="19"/>
      <c r="E65" s="19"/>
      <c r="F65" s="20" t="n">
        <f aca="false">SUM(F52:F64)</f>
        <v>21025</v>
      </c>
      <c r="G65" s="21" t="n">
        <f aca="false">F65/95.8652148322543</f>
        <v>219.31834228703</v>
      </c>
      <c r="H65" s="19"/>
    </row>
  </sheetData>
  <hyperlinks>
    <hyperlink ref="H2" r:id="rId1" display="https://rees52.com/products/17hs4401s-nema-17-stepper-motor-for-3d-printer?_pos=4&amp;_sid=48153941e&amp;_ss=r"/>
    <hyperlink ref="H3" r:id="rId2" display="https://www.3dprintronics.com/products/?productId=65234093"/>
    <hyperlink ref="H4" r:id="rId3" display="https://www.3dprintronics.com/products/gt-2-pulley-20t-5mm-bore"/>
    <hyperlink ref="H5" r:id="rId4" display="https://makerbazar.in/products/1m-gt2-width-6mm-black-open-timing-belt-for-3d-printer"/>
    <hyperlink ref="H6" r:id="rId5" display="https://www.3dprintronics.com/extrusions?productId=721461094"/>
    <hyperlink ref="H7" r:id="rId6" display="https://www.3dprintronics.com/extrusions?productId=721461094"/>
    <hyperlink ref="H8" r:id="rId7" display="https://www.3dprintronics.com/extrusions?productId=720294005"/>
    <hyperlink ref="H9" r:id="rId8" display="https://www.3dprintronics.com/brackets"/>
    <hyperlink ref="H19" r:id="rId9" display="https://www.3dprintronics.com/tnuts"/>
    <hyperlink ref="H22" r:id="rId10" display="https://rees52.com/products/m3x10mm-nylon-hex-spacers-10mm-female-female-nylon-hex-spacers-versatile-m3-nylon-hex-spacers-for-electronics-projects-pack-of-10-rs4028?_pos=4&amp;_sid=70c24bf3d&amp;_ss=r"/>
    <hyperlink ref="H23" r:id="rId11" display="https://www.3dprintronics.com/tnuts"/>
    <hyperlink ref="H26" r:id="rId12" display="https://www.3dprintronics.com/fasteners"/>
    <hyperlink ref="H32" r:id="rId13" display="https://www.3dprintronics.com/products/acro-acrylic-plate-set"/>
    <hyperlink ref="H33" r:id="rId14" display="https://makerbazar.in/products/concrete-iron-nails?variant=44871802716400"/>
    <hyperlink ref="H35" r:id="rId15" display="https://www.3dprintronics.com/fasteners"/>
    <hyperlink ref="H36" r:id="rId16" display="https://rees52.com/products/makerbase-mks-dlc32-v2-1-offline-controller-board-for-standalone-3d-printer-cnc-board?selling_plan=2556362919&amp;variant=47709331161255"/>
    <hyperlink ref="H37" r:id="rId17" display="https://makerbazar.in/products/drv8825-stepper-motor-driver-with-aluminum-heat-sink?variant=45989819384048"/>
    <hyperlink ref="H38" r:id="rId18" display="https://www.3dprintronics.com/products/original-meanwell-psu-lrs-150-24"/>
    <hyperlink ref="H39" r:id="rId19" display="https://makerbazar.in/products/xl6009-dc-dc-adjustable-boost-buck-step-up-step-down-converter-module?variant=49621760803056"/>
    <hyperlink ref="H40" r:id="rId20" display="https://makerbazar.in/products/small-servo-plastic-gear-svg90s?variant=45449411395824"/>
    <hyperlink ref="H41" r:id="rId21" display="https://makerbazar.in/products/automation-direct-limit-switch?variant=46931163742448"/>
    <hyperlink ref="H42" r:id="rId22" display="https://makerbazar.in/products/230pcs-jst-xh-2-54mm-terminal-connectors-kit?variant=44076187353328"/>
    <hyperlink ref="H43" r:id="rId23" display="https://makerbazar.in/products/multifunctional-wire-stripper-tool?variant=48854082224368"/>
    <hyperlink ref="H44" r:id="rId24" display="https://rees52.com/products/22-awg-hookup-wire-kit-600v-pre-tinned-solid-core-copper-wire-6-assorted-colors-10-meters-each-for-electronics-and-diy-projects-solid-rs3858?variant=45173813280935&amp;country=IN&amp;currency=INR"/>
    <hyperlink ref="H49" r:id="rId25" display="https://makerbazar.in/products/gi-flexible-electrical-conduit-pipe?variant=49720866930928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2026-09-01T00:17:30Z</dcterms:created>
  <dc:creator>openpyxl</dc:creator>
  <dc:description/>
  <dc:language>en-US</dc:language>
  <cp:lastModifiedBy/>
  <dcterms:modified xsi:type="dcterms:W3CDTF">2026-09-01T00:17:30Z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